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macsolution/Downloads/"/>
    </mc:Choice>
  </mc:AlternateContent>
  <xr:revisionPtr revIDLastSave="0" documentId="13_ncr:1_{7A0F7249-DA40-974F-BE87-D0F122A7AC67}" xr6:coauthVersionLast="47" xr6:coauthVersionMax="47" xr10:uidLastSave="{00000000-0000-0000-0000-000000000000}"/>
  <bookViews>
    <workbookView xWindow="0" yWindow="0" windowWidth="25600" windowHeight="16000" xr2:uid="{00000000-000D-0000-FFFF-FFFF00000000}"/>
  </bookViews>
  <sheets>
    <sheet name="Sheet2" sheetId="2" r:id="rId1"/>
    <sheet name="Sheet1" sheetId="1" r:id="rId2"/>
  </sheets>
  <definedNames>
    <definedName name="Slicer_COGS">#N/A</definedName>
    <definedName name="Slicer_Country">#N/A</definedName>
    <definedName name="Slicer_Country1">#N/A</definedName>
    <definedName name="Slicer_Date">#N/A</definedName>
    <definedName name="Slicer_Discount_Band">#N/A</definedName>
    <definedName name="Slicer_Discounts">#N/A</definedName>
    <definedName name="Slicer_Gross_Sales">#N/A</definedName>
    <definedName name="Slicer_Product">#N/A</definedName>
    <definedName name="Slicer_Product1">#N/A</definedName>
    <definedName name="Slicer_Profit">#N/A</definedName>
    <definedName name="Slicer_Sales">#N/A</definedName>
    <definedName name="Slicer_Segment">#N/A</definedName>
    <definedName name="Slicer_Segment1">#N/A</definedName>
    <definedName name="Slicer_Segment2">#N/A</definedName>
    <definedName name="Slicer_Units_Sold">#N/A</definedName>
    <definedName name="Slicer_Year">#N/A</definedName>
  </definedNames>
  <calcPr calcId="191029"/>
  <pivotCaches>
    <pivotCache cacheId="16" r:id="rId3"/>
    <pivotCache cacheId="25"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5" i="2" l="1"/>
  <c r="F4" i="2"/>
  <c r="F3" i="2"/>
  <c r="F2" i="2"/>
</calcChain>
</file>

<file path=xl/sharedStrings.xml><?xml version="1.0" encoding="utf-8"?>
<sst xmlns="http://schemas.openxmlformats.org/spreadsheetml/2006/main" count="2058" uniqueCount="56">
  <si>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</si>
  <si>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</si>
  <si>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</si>
  <si>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</si>
  <si>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</si>
  <si>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</si>
  <si>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</si>
  <si>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</si>
  <si>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</si>
  <si>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</si>
  <si>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</si>
  <si>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</si>
  <si>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</si>
  <si>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</si>
  <si>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</si>
  <si>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</si>
  <si>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</si>
  <si>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Canada</t>
  </si>
  <si>
    <t>Carretera</t>
  </si>
  <si>
    <t>High</t>
  </si>
  <si>
    <t>January</t>
  </si>
  <si>
    <t>Germany</t>
  </si>
  <si>
    <t>France</t>
  </si>
  <si>
    <t>Montana</t>
  </si>
  <si>
    <t>June</t>
  </si>
  <si>
    <t>Paseo</t>
  </si>
  <si>
    <t>February</t>
  </si>
  <si>
    <t>December</t>
  </si>
  <si>
    <t>VTT</t>
  </si>
  <si>
    <t>Amarilla</t>
  </si>
  <si>
    <t>Low</t>
  </si>
  <si>
    <t>July</t>
  </si>
  <si>
    <t>United States of America</t>
  </si>
  <si>
    <t>October</t>
  </si>
  <si>
    <t>Velo</t>
  </si>
  <si>
    <t>Mexico</t>
  </si>
  <si>
    <t>November</t>
  </si>
  <si>
    <t>April</t>
  </si>
  <si>
    <t>May</t>
  </si>
  <si>
    <t>September</t>
  </si>
  <si>
    <t>Medium</t>
  </si>
  <si>
    <t>August</t>
  </si>
  <si>
    <t>March</t>
  </si>
  <si>
    <t>Midmarket</t>
  </si>
  <si>
    <t>Channel Partners</t>
  </si>
  <si>
    <t>Enterprise</t>
  </si>
  <si>
    <t>Sum of  Sales</t>
  </si>
  <si>
    <t>Row Labels</t>
  </si>
  <si>
    <t>Grand Total</t>
  </si>
  <si>
    <t>(blank)</t>
  </si>
  <si>
    <t>Sum of Profit</t>
  </si>
  <si>
    <t>Total Sales</t>
  </si>
  <si>
    <t>Total Profit</t>
  </si>
  <si>
    <t>Total Units Sold</t>
  </si>
  <si>
    <t>Total Gross Sales</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</si>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</sst>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4" x14ac:knownFonts="1">
    <font>
      <sz val="11"/>
      <color theme="1"/>
      <name val="Calibri"/>
      <family val="2"/>
      <scheme val="minor"/>
    </font>
    <font>
      <b/>
      <sz val="11"/>
      <name val="Calibri"/>
    </font>
    <font>
      <sz val="16"/>
      <color theme="1"/>
      <name val="Calibri"/>
      <family val="2"/>
      <scheme val="minor"/>
    </font>
    <font>
      <sz val="36"/>
      <color theme="1"/>
      <name val="Calibri (Body)"/>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2" fillId="0" borderId="0" xfId="0" applyFont="1"/>
    <xf numFmtId="0" fontId="2" fillId="2" borderId="0" xfId="0" applyFont="1" applyFill="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07/relationships/slicerCache" Target="slicerCaches/slicerCache9.xml"/><Relationship Id="rId18" Type="http://schemas.microsoft.com/office/2007/relationships/slicerCache" Target="slicerCaches/slicerCache14.xml"/><Relationship Id="rId3" Type="http://schemas.openxmlformats.org/officeDocument/2006/relationships/pivotCacheDefinition" Target="pivotCache/pivotCacheDefinition1.xml"/><Relationship Id="rId21" Type="http://schemas.openxmlformats.org/officeDocument/2006/relationships/theme" Target="theme/theme1.xml"/><Relationship Id="rId7" Type="http://schemas.microsoft.com/office/2007/relationships/slicerCache" Target="slicerCaches/slicerCache3.xml"/><Relationship Id="rId12" Type="http://schemas.microsoft.com/office/2007/relationships/slicerCache" Target="slicerCaches/slicerCache8.xml"/><Relationship Id="rId17" Type="http://schemas.microsoft.com/office/2007/relationships/slicerCache" Target="slicerCaches/slicerCache13.xml"/><Relationship Id="rId2" Type="http://schemas.openxmlformats.org/officeDocument/2006/relationships/worksheet" Target="worksheets/sheet2.xml"/><Relationship Id="rId16" Type="http://schemas.microsoft.com/office/2007/relationships/slicerCache" Target="slicerCaches/slicerCache12.xml"/><Relationship Id="rId20" Type="http://schemas.microsoft.com/office/2007/relationships/slicerCache" Target="slicerCaches/slicerCache16.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24" Type="http://schemas.openxmlformats.org/officeDocument/2006/relationships/calcChain" Target="calcChain.xml"/><Relationship Id="rId5" Type="http://schemas.microsoft.com/office/2007/relationships/slicerCache" Target="slicerCaches/slicerCache1.xml"/><Relationship Id="rId15" Type="http://schemas.microsoft.com/office/2007/relationships/slicerCache" Target="slicerCaches/slicerCache11.xml"/><Relationship Id="rId23" Type="http://schemas.openxmlformats.org/officeDocument/2006/relationships/sharedStrings" Target="sharedStrings.xml"/><Relationship Id="rId10" Type="http://schemas.microsoft.com/office/2007/relationships/slicerCache" Target="slicerCaches/slicerCache6.xml"/><Relationship Id="rId19" Type="http://schemas.microsoft.com/office/2007/relationships/slicerCache" Target="slicerCaches/slicerCache15.xml"/><Relationship Id="rId4" Type="http://schemas.openxmlformats.org/officeDocument/2006/relationships/pivotCacheDefinition" Target="pivotCache/pivotCacheDefinition2.xml"/><Relationship Id="rId9" Type="http://schemas.microsoft.com/office/2007/relationships/slicerCache" Target="slicerCaches/slicerCache5.xml"/><Relationship Id="rId14" Type="http://schemas.microsoft.com/office/2007/relationships/slicerCache" Target="slicerCaches/slicerCache10.xml"/><Relationship Id="rId22"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8</xdr:col>
      <xdr:colOff>571500</xdr:colOff>
      <xdr:row>6</xdr:row>
      <xdr:rowOff>63500</xdr:rowOff>
    </xdr:from>
    <xdr:to>
      <xdr:col>9</xdr:col>
      <xdr:colOff>736600</xdr:colOff>
      <xdr:row>19</xdr:row>
      <xdr:rowOff>15869</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90E3DF6B-2389-1B1E-2CD2-34816DE866E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8915400" y="19177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177800</xdr:colOff>
      <xdr:row>6</xdr:row>
      <xdr:rowOff>76200</xdr:rowOff>
    </xdr:from>
    <xdr:to>
      <xdr:col>8</xdr:col>
      <xdr:colOff>254000</xdr:colOff>
      <xdr:row>19</xdr:row>
      <xdr:rowOff>28569</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7AF5FAE4-FE9E-1DFE-7C3A-129311ADB70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769100" y="19304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850900</xdr:colOff>
      <xdr:row>6</xdr:row>
      <xdr:rowOff>114300</xdr:rowOff>
    </xdr:from>
    <xdr:to>
      <xdr:col>5</xdr:col>
      <xdr:colOff>800100</xdr:colOff>
      <xdr:row>19</xdr:row>
      <xdr:rowOff>66669</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F41D363C-7301-ADFD-6025-5F2F7D27FFB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495800" y="19685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368300</xdr:colOff>
      <xdr:row>6</xdr:row>
      <xdr:rowOff>152400</xdr:rowOff>
    </xdr:from>
    <xdr:to>
      <xdr:col>4</xdr:col>
      <xdr:colOff>546100</xdr:colOff>
      <xdr:row>19</xdr:row>
      <xdr:rowOff>104769</xdr:rowOff>
    </xdr:to>
    <mc:AlternateContent xmlns:mc="http://schemas.openxmlformats.org/markup-compatibility/2006">
      <mc:Choice xmlns:a14="http://schemas.microsoft.com/office/drawing/2010/main" Requires="a14">
        <xdr:graphicFrame macro="">
          <xdr:nvGraphicFramePr>
            <xdr:cNvPr id="5" name="Discount Band">
              <a:extLst>
                <a:ext uri="{FF2B5EF4-FFF2-40B4-BE49-F238E27FC236}">
                  <a16:creationId xmlns:a16="http://schemas.microsoft.com/office/drawing/2014/main" id="{76FCD94D-5E2D-2191-C317-59CB84375299}"/>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dr:sp macro="" textlink="">
          <xdr:nvSpPr>
            <xdr:cNvPr id="0" name=""/>
            <xdr:cNvSpPr>
              <a:spLocks noTextEdit="1"/>
            </xdr:cNvSpPr>
          </xdr:nvSpPr>
          <xdr:spPr>
            <a:xfrm>
              <a:off x="2362200" y="20066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635000</xdr:colOff>
      <xdr:row>22</xdr:row>
      <xdr:rowOff>38100</xdr:rowOff>
    </xdr:from>
    <xdr:to>
      <xdr:col>9</xdr:col>
      <xdr:colOff>800100</xdr:colOff>
      <xdr:row>34</xdr:row>
      <xdr:rowOff>180969</xdr:rowOff>
    </xdr:to>
    <mc:AlternateContent xmlns:mc="http://schemas.openxmlformats.org/markup-compatibility/2006">
      <mc:Choice xmlns:a14="http://schemas.microsoft.com/office/drawing/2010/main" Requires="a14">
        <xdr:graphicFrame macro="">
          <xdr:nvGraphicFramePr>
            <xdr:cNvPr id="6" name="Segment 1">
              <a:extLst>
                <a:ext uri="{FF2B5EF4-FFF2-40B4-BE49-F238E27FC236}">
                  <a16:creationId xmlns:a16="http://schemas.microsoft.com/office/drawing/2014/main" id="{356F87B2-C0F1-C4ED-DB7D-7ABB388CE14B}"/>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8978900" y="49403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190500</xdr:colOff>
      <xdr:row>21</xdr:row>
      <xdr:rowOff>152400</xdr:rowOff>
    </xdr:from>
    <xdr:to>
      <xdr:col>8</xdr:col>
      <xdr:colOff>266700</xdr:colOff>
      <xdr:row>34</xdr:row>
      <xdr:rowOff>104769</xdr:rowOff>
    </xdr:to>
    <mc:AlternateContent xmlns:mc="http://schemas.openxmlformats.org/markup-compatibility/2006">
      <mc:Choice xmlns:a14="http://schemas.microsoft.com/office/drawing/2010/main" Requires="a14">
        <xdr:graphicFrame macro="">
          <xdr:nvGraphicFramePr>
            <xdr:cNvPr id="7" name="Country 1">
              <a:extLst>
                <a:ext uri="{FF2B5EF4-FFF2-40B4-BE49-F238E27FC236}">
                  <a16:creationId xmlns:a16="http://schemas.microsoft.com/office/drawing/2014/main" id="{CC04D343-E1E6-9AE2-14C3-91B91DAFA1B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6781800" y="48641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850900</xdr:colOff>
      <xdr:row>22</xdr:row>
      <xdr:rowOff>12700</xdr:rowOff>
    </xdr:from>
    <xdr:to>
      <xdr:col>5</xdr:col>
      <xdr:colOff>800100</xdr:colOff>
      <xdr:row>34</xdr:row>
      <xdr:rowOff>155569</xdr:rowOff>
    </xdr:to>
    <mc:AlternateContent xmlns:mc="http://schemas.openxmlformats.org/markup-compatibility/2006">
      <mc:Choice xmlns:a14="http://schemas.microsoft.com/office/drawing/2010/main" Requires="a14">
        <xdr:graphicFrame macro="">
          <xdr:nvGraphicFramePr>
            <xdr:cNvPr id="8" name="Product 1">
              <a:extLst>
                <a:ext uri="{FF2B5EF4-FFF2-40B4-BE49-F238E27FC236}">
                  <a16:creationId xmlns:a16="http://schemas.microsoft.com/office/drawing/2014/main" id="{67B5DA48-A53E-1DC3-A611-128484BDE1C4}"/>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4495800" y="49149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330200</xdr:colOff>
      <xdr:row>22</xdr:row>
      <xdr:rowOff>12700</xdr:rowOff>
    </xdr:from>
    <xdr:to>
      <xdr:col>4</xdr:col>
      <xdr:colOff>508000</xdr:colOff>
      <xdr:row>34</xdr:row>
      <xdr:rowOff>155569</xdr:rowOff>
    </xdr:to>
    <mc:AlternateContent xmlns:mc="http://schemas.openxmlformats.org/markup-compatibility/2006">
      <mc:Choice xmlns:a14="http://schemas.microsoft.com/office/drawing/2010/main" Requires="a14">
        <xdr:graphicFrame macro="">
          <xdr:nvGraphicFramePr>
            <xdr:cNvPr id="9" name="Units Sold">
              <a:extLst>
                <a:ext uri="{FF2B5EF4-FFF2-40B4-BE49-F238E27FC236}">
                  <a16:creationId xmlns:a16="http://schemas.microsoft.com/office/drawing/2014/main" id="{3F2544D9-A26B-0981-0A81-91E4C7001891}"/>
                </a:ext>
              </a:extLst>
            </xdr:cNvPr>
            <xdr:cNvGraphicFramePr/>
          </xdr:nvGraphicFramePr>
          <xdr:xfrm>
            <a:off x="0" y="0"/>
            <a:ext cx="0" cy="0"/>
          </xdr:xfrm>
          <a:graphic>
            <a:graphicData uri="http://schemas.microsoft.com/office/drawing/2010/slicer">
              <sle:slicer xmlns:sle="http://schemas.microsoft.com/office/drawing/2010/slicer" name="Units Sold"/>
            </a:graphicData>
          </a:graphic>
        </xdr:graphicFrame>
      </mc:Choice>
      <mc:Fallback>
        <xdr:sp macro="" textlink="">
          <xdr:nvSpPr>
            <xdr:cNvPr id="0" name=""/>
            <xdr:cNvSpPr>
              <a:spLocks noTextEdit="1"/>
            </xdr:cNvSpPr>
          </xdr:nvSpPr>
          <xdr:spPr>
            <a:xfrm>
              <a:off x="2324100" y="49149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266700</xdr:colOff>
      <xdr:row>37</xdr:row>
      <xdr:rowOff>152400</xdr:rowOff>
    </xdr:from>
    <xdr:to>
      <xdr:col>4</xdr:col>
      <xdr:colOff>444500</xdr:colOff>
      <xdr:row>50</xdr:row>
      <xdr:rowOff>104769</xdr:rowOff>
    </xdr:to>
    <mc:AlternateContent xmlns:mc="http://schemas.openxmlformats.org/markup-compatibility/2006">
      <mc:Choice xmlns:a14="http://schemas.microsoft.com/office/drawing/2010/main" Requires="a14">
        <xdr:graphicFrame macro="">
          <xdr:nvGraphicFramePr>
            <xdr:cNvPr id="10" name="Segment 2">
              <a:extLst>
                <a:ext uri="{FF2B5EF4-FFF2-40B4-BE49-F238E27FC236}">
                  <a16:creationId xmlns:a16="http://schemas.microsoft.com/office/drawing/2014/main" id="{D2F41F04-1BBD-3976-B49F-557B13738B20}"/>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2260600" y="79121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1104900</xdr:colOff>
      <xdr:row>37</xdr:row>
      <xdr:rowOff>127000</xdr:rowOff>
    </xdr:from>
    <xdr:to>
      <xdr:col>5</xdr:col>
      <xdr:colOff>1054100</xdr:colOff>
      <xdr:row>50</xdr:row>
      <xdr:rowOff>79369</xdr:rowOff>
    </xdr:to>
    <mc:AlternateContent xmlns:mc="http://schemas.openxmlformats.org/markup-compatibility/2006">
      <mc:Choice xmlns:a14="http://schemas.microsoft.com/office/drawing/2010/main" Requires="a14">
        <xdr:graphicFrame macro="">
          <xdr:nvGraphicFramePr>
            <xdr:cNvPr id="11" name="Gross Sales">
              <a:extLst>
                <a:ext uri="{FF2B5EF4-FFF2-40B4-BE49-F238E27FC236}">
                  <a16:creationId xmlns:a16="http://schemas.microsoft.com/office/drawing/2014/main" id="{39B1EF7A-33C2-751D-6BF0-97292B4735CD}"/>
                </a:ext>
              </a:extLst>
            </xdr:cNvPr>
            <xdr:cNvGraphicFramePr/>
          </xdr:nvGraphicFramePr>
          <xdr:xfrm>
            <a:off x="0" y="0"/>
            <a:ext cx="0" cy="0"/>
          </xdr:xfrm>
          <a:graphic>
            <a:graphicData uri="http://schemas.microsoft.com/office/drawing/2010/slicer">
              <sle:slicer xmlns:sle="http://schemas.microsoft.com/office/drawing/2010/slicer" name="Gross Sales"/>
            </a:graphicData>
          </a:graphic>
        </xdr:graphicFrame>
      </mc:Choice>
      <mc:Fallback>
        <xdr:sp macro="" textlink="">
          <xdr:nvSpPr>
            <xdr:cNvPr id="0" name=""/>
            <xdr:cNvSpPr>
              <a:spLocks noTextEdit="1"/>
            </xdr:cNvSpPr>
          </xdr:nvSpPr>
          <xdr:spPr>
            <a:xfrm>
              <a:off x="4749800" y="78867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596900</xdr:colOff>
      <xdr:row>37</xdr:row>
      <xdr:rowOff>88900</xdr:rowOff>
    </xdr:from>
    <xdr:to>
      <xdr:col>8</xdr:col>
      <xdr:colOff>673100</xdr:colOff>
      <xdr:row>50</xdr:row>
      <xdr:rowOff>41269</xdr:rowOff>
    </xdr:to>
    <mc:AlternateContent xmlns:mc="http://schemas.openxmlformats.org/markup-compatibility/2006">
      <mc:Choice xmlns:a14="http://schemas.microsoft.com/office/drawing/2010/main" Requires="a14">
        <xdr:graphicFrame macro="">
          <xdr:nvGraphicFramePr>
            <xdr:cNvPr id="12" name="Discounts">
              <a:extLst>
                <a:ext uri="{FF2B5EF4-FFF2-40B4-BE49-F238E27FC236}">
                  <a16:creationId xmlns:a16="http://schemas.microsoft.com/office/drawing/2014/main" id="{DCCD5A14-1567-EAF3-6596-833CE188FAED}"/>
                </a:ext>
              </a:extLst>
            </xdr:cNvPr>
            <xdr:cNvGraphicFramePr/>
          </xdr:nvGraphicFramePr>
          <xdr:xfrm>
            <a:off x="0" y="0"/>
            <a:ext cx="0" cy="0"/>
          </xdr:xfrm>
          <a:graphic>
            <a:graphicData uri="http://schemas.microsoft.com/office/drawing/2010/slicer">
              <sle:slicer xmlns:sle="http://schemas.microsoft.com/office/drawing/2010/slicer" name="Discounts"/>
            </a:graphicData>
          </a:graphic>
        </xdr:graphicFrame>
      </mc:Choice>
      <mc:Fallback>
        <xdr:sp macro="" textlink="">
          <xdr:nvSpPr>
            <xdr:cNvPr id="0" name=""/>
            <xdr:cNvSpPr>
              <a:spLocks noTextEdit="1"/>
            </xdr:cNvSpPr>
          </xdr:nvSpPr>
          <xdr:spPr>
            <a:xfrm>
              <a:off x="7188200" y="78486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952500</xdr:colOff>
      <xdr:row>37</xdr:row>
      <xdr:rowOff>63500</xdr:rowOff>
    </xdr:from>
    <xdr:to>
      <xdr:col>10</xdr:col>
      <xdr:colOff>292100</xdr:colOff>
      <xdr:row>50</xdr:row>
      <xdr:rowOff>15869</xdr:rowOff>
    </xdr:to>
    <mc:AlternateContent xmlns:mc="http://schemas.openxmlformats.org/markup-compatibility/2006">
      <mc:Choice xmlns:a14="http://schemas.microsoft.com/office/drawing/2010/main" Requires="a14">
        <xdr:graphicFrame macro="">
          <xdr:nvGraphicFramePr>
            <xdr:cNvPr id="13" name=" Sales">
              <a:extLst>
                <a:ext uri="{FF2B5EF4-FFF2-40B4-BE49-F238E27FC236}">
                  <a16:creationId xmlns:a16="http://schemas.microsoft.com/office/drawing/2014/main" id="{183F7F98-DF82-8B6F-C7C2-FDA446067760}"/>
                </a:ext>
              </a:extLst>
            </xdr:cNvPr>
            <xdr:cNvGraphicFramePr/>
          </xdr:nvGraphicFramePr>
          <xdr:xfrm>
            <a:off x="0" y="0"/>
            <a:ext cx="0" cy="0"/>
          </xdr:xfrm>
          <a:graphic>
            <a:graphicData uri="http://schemas.microsoft.com/office/drawing/2010/slicer">
              <sle:slicer xmlns:sle="http://schemas.microsoft.com/office/drawing/2010/slicer" name=" Sales"/>
            </a:graphicData>
          </a:graphic>
        </xdr:graphicFrame>
      </mc:Choice>
      <mc:Fallback>
        <xdr:sp macro="" textlink="">
          <xdr:nvSpPr>
            <xdr:cNvPr id="0" name=""/>
            <xdr:cNvSpPr>
              <a:spLocks noTextEdit="1"/>
            </xdr:cNvSpPr>
          </xdr:nvSpPr>
          <xdr:spPr>
            <a:xfrm>
              <a:off x="9296400" y="78232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419100</xdr:colOff>
      <xdr:row>54</xdr:row>
      <xdr:rowOff>50800</xdr:rowOff>
    </xdr:from>
    <xdr:to>
      <xdr:col>4</xdr:col>
      <xdr:colOff>596900</xdr:colOff>
      <xdr:row>67</xdr:row>
      <xdr:rowOff>3169</xdr:rowOff>
    </xdr:to>
    <mc:AlternateContent xmlns:mc="http://schemas.openxmlformats.org/markup-compatibility/2006">
      <mc:Choice xmlns:a14="http://schemas.microsoft.com/office/drawing/2010/main" Requires="a14">
        <xdr:graphicFrame macro="">
          <xdr:nvGraphicFramePr>
            <xdr:cNvPr id="14" name="COGS">
              <a:extLst>
                <a:ext uri="{FF2B5EF4-FFF2-40B4-BE49-F238E27FC236}">
                  <a16:creationId xmlns:a16="http://schemas.microsoft.com/office/drawing/2014/main" id="{A6EE9B1C-0D2C-F698-5EE8-83A757574293}"/>
                </a:ext>
              </a:extLst>
            </xdr:cNvPr>
            <xdr:cNvGraphicFramePr/>
          </xdr:nvGraphicFramePr>
          <xdr:xfrm>
            <a:off x="0" y="0"/>
            <a:ext cx="0" cy="0"/>
          </xdr:xfrm>
          <a:graphic>
            <a:graphicData uri="http://schemas.microsoft.com/office/drawing/2010/slicer">
              <sle:slicer xmlns:sle="http://schemas.microsoft.com/office/drawing/2010/slicer" name="COGS"/>
            </a:graphicData>
          </a:graphic>
        </xdr:graphicFrame>
      </mc:Choice>
      <mc:Fallback>
        <xdr:sp macro="" textlink="">
          <xdr:nvSpPr>
            <xdr:cNvPr id="0" name=""/>
            <xdr:cNvSpPr>
              <a:spLocks noTextEdit="1"/>
            </xdr:cNvSpPr>
          </xdr:nvSpPr>
          <xdr:spPr>
            <a:xfrm>
              <a:off x="2413000" y="110490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914400</xdr:colOff>
      <xdr:row>54</xdr:row>
      <xdr:rowOff>38100</xdr:rowOff>
    </xdr:from>
    <xdr:to>
      <xdr:col>5</xdr:col>
      <xdr:colOff>863600</xdr:colOff>
      <xdr:row>66</xdr:row>
      <xdr:rowOff>180969</xdr:rowOff>
    </xdr:to>
    <mc:AlternateContent xmlns:mc="http://schemas.openxmlformats.org/markup-compatibility/2006">
      <mc:Choice xmlns:a14="http://schemas.microsoft.com/office/drawing/2010/main" Requires="a14">
        <xdr:graphicFrame macro="">
          <xdr:nvGraphicFramePr>
            <xdr:cNvPr id="15" name="Profit">
              <a:extLst>
                <a:ext uri="{FF2B5EF4-FFF2-40B4-BE49-F238E27FC236}">
                  <a16:creationId xmlns:a16="http://schemas.microsoft.com/office/drawing/2014/main" id="{9E067965-D477-12FF-8A65-7BA88FABEEA0}"/>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dr:sp macro="" textlink="">
          <xdr:nvSpPr>
            <xdr:cNvPr id="0" name=""/>
            <xdr:cNvSpPr>
              <a:spLocks noTextEdit="1"/>
            </xdr:cNvSpPr>
          </xdr:nvSpPr>
          <xdr:spPr>
            <a:xfrm>
              <a:off x="4559300" y="110363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622300</xdr:colOff>
      <xdr:row>53</xdr:row>
      <xdr:rowOff>177800</xdr:rowOff>
    </xdr:from>
    <xdr:to>
      <xdr:col>9</xdr:col>
      <xdr:colOff>787400</xdr:colOff>
      <xdr:row>66</xdr:row>
      <xdr:rowOff>130169</xdr:rowOff>
    </xdr:to>
    <mc:AlternateContent xmlns:mc="http://schemas.openxmlformats.org/markup-compatibility/2006">
      <mc:Choice xmlns:a14="http://schemas.microsoft.com/office/drawing/2010/main" Requires="a14">
        <xdr:graphicFrame macro="">
          <xdr:nvGraphicFramePr>
            <xdr:cNvPr id="16" name="Date">
              <a:extLst>
                <a:ext uri="{FF2B5EF4-FFF2-40B4-BE49-F238E27FC236}">
                  <a16:creationId xmlns:a16="http://schemas.microsoft.com/office/drawing/2014/main" id="{2DAEEA8B-9AC3-3E31-0872-CECE17490544}"/>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8966200" y="109855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114300</xdr:colOff>
      <xdr:row>53</xdr:row>
      <xdr:rowOff>177800</xdr:rowOff>
    </xdr:from>
    <xdr:to>
      <xdr:col>8</xdr:col>
      <xdr:colOff>190500</xdr:colOff>
      <xdr:row>66</xdr:row>
      <xdr:rowOff>130169</xdr:rowOff>
    </xdr:to>
    <mc:AlternateContent xmlns:mc="http://schemas.openxmlformats.org/markup-compatibility/2006">
      <mc:Choice xmlns:a14="http://schemas.microsoft.com/office/drawing/2010/main" Requires="a14">
        <xdr:graphicFrame macro="">
          <xdr:nvGraphicFramePr>
            <xdr:cNvPr id="17" name="Year">
              <a:extLst>
                <a:ext uri="{FF2B5EF4-FFF2-40B4-BE49-F238E27FC236}">
                  <a16:creationId xmlns:a16="http://schemas.microsoft.com/office/drawing/2014/main" id="{90FBFFFE-84C7-5D29-D82C-350A0D8B80B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705600" y="109855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c Solution" refreshedDate="46207.824170023145" createdVersion="8" refreshedVersion="8" minRefreshableVersion="3" recordCount="399" xr:uid="{452FF127-B12C-1F43-B635-17F29178FFBD}">
  <cacheSource type="worksheet">
    <worksheetSource ref="A1:P400" sheet="Sheet1"/>
  </cacheSource>
  <cacheFields count="16">
    <cacheField name="Segment" numFmtId="0">
      <sharedItems count="4">
        <s v="Government"/>
        <s v="Midmarket"/>
        <s v="Channel Partners"/>
        <s v="Enterprise"/>
      </sharedItems>
    </cacheField>
    <cacheField name="Country" numFmtId="0">
      <sharedItems count="5">
        <s v="Canada"/>
        <s v="Germany"/>
        <s v="France"/>
        <s v="United States of America"/>
        <s v="Mexico"/>
      </sharedItems>
    </cacheField>
    <cacheField name="Product" numFmtId="0">
      <sharedItems count="6">
        <s v="Carretera"/>
        <s v="Montana"/>
        <s v="Paseo"/>
        <s v="VTT"/>
        <s v="Amarilla"/>
        <s v="Velo"/>
      </sharedItems>
    </cacheField>
    <cacheField name="Discount Band" numFmtId="0">
      <sharedItems count="3">
        <s v="High"/>
        <s v="Low"/>
        <s v="Medium"/>
      </sharedItems>
    </cacheField>
    <cacheField name="Units Sold" numFmtId="0">
      <sharedItems containsSemiMixedTypes="0" containsString="0" containsNumber="1" minValue="218" maxValue="3997.5"/>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125"/>
    </cacheField>
    <cacheField name="Gross Sales" numFmtId="0">
      <sharedItems containsSemiMixedTypes="0" containsString="0" containsNumber="1" minValue="1799" maxValue="59962.5"/>
    </cacheField>
    <cacheField name="Discounts" numFmtId="0">
      <sharedItems containsSemiMixedTypes="0" containsString="0" containsNumber="1" minValue="0" maxValue="7795.125"/>
    </cacheField>
    <cacheField name=" Sales" numFmtId="0">
      <sharedItems containsSemiMixedTypes="0" containsString="0" containsNumber="1" minValue="1655.08" maxValue="55071.199999999997"/>
    </cacheField>
    <cacheField name="COGS" numFmtId="0">
      <sharedItems containsSemiMixedTypes="0" containsString="0" containsNumber="1" minValue="918" maxValue="41400"/>
    </cacheField>
    <cacheField name="Profit" numFmtId="0">
      <sharedItems containsSemiMixedTypes="0" containsString="0" containsNumber="1" minValue="-2557.5" maxValue="27459.9"/>
    </cacheField>
    <cacheField name="Date" numFmtId="165">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0">
      <sharedItems/>
    </cacheField>
    <cacheField name="Year" numFmtId="0">
      <sharedItems containsSemiMixedTypes="0" containsString="0" containsNumber="1" containsInteger="1" minValue="2013" maxValue="2014"/>
    </cacheField>
  </cacheFields>
  <extLst>
    <ext xmlns:x14="http://schemas.microsoft.com/office/spreadsheetml/2009/9/main" uri="{725AE2AE-9491-48be-B2B4-4EB974FC3084}">
      <x14:pivotCacheDefinition pivotCacheId="6129345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c Solution" refreshedDate="46207.826678240737" createdVersion="8" refreshedVersion="8" minRefreshableVersion="3" recordCount="400" xr:uid="{9FD9C5CB-7C49-254E-843F-EA014C91BDB3}">
  <cacheSource type="worksheet">
    <worksheetSource ref="A1:P700" sheet="Sheet1"/>
  </cacheSource>
  <cacheFields count="16">
    <cacheField name="Segment" numFmtId="0">
      <sharedItems containsBlank="1" count="5">
        <s v="Government"/>
        <s v="Midmarket"/>
        <s v="Channel Partners"/>
        <s v="Enterprise"/>
        <m/>
      </sharedItems>
    </cacheField>
    <cacheField name="Country" numFmtId="0">
      <sharedItems containsBlank="1" count="6">
        <s v="Canada"/>
        <s v="Germany"/>
        <s v="France"/>
        <s v="United States of America"/>
        <s v="Mexico"/>
        <m/>
      </sharedItems>
    </cacheField>
    <cacheField name="Product" numFmtId="0">
      <sharedItems containsBlank="1" count="7">
        <s v="Carretera"/>
        <s v="Montana"/>
        <s v="Paseo"/>
        <s v="VTT"/>
        <s v="Amarilla"/>
        <s v="Velo"/>
        <m/>
      </sharedItems>
    </cacheField>
    <cacheField name="Discount Band" numFmtId="0">
      <sharedItems containsBlank="1"/>
    </cacheField>
    <cacheField name="Units Sold" numFmtId="0">
      <sharedItems containsString="0" containsBlank="1" containsNumber="1" minValue="218" maxValue="3997.5" count="305">
        <n v="1618.5"/>
        <n v="1321"/>
        <n v="1899"/>
        <n v="292"/>
        <n v="1817"/>
        <n v="1375.5"/>
        <n v="1566"/>
        <n v="544"/>
        <n v="1236"/>
        <n v="941"/>
        <n v="2580"/>
        <n v="831"/>
        <n v="736"/>
        <n v="2074"/>
        <n v="1056"/>
        <n v="2646"/>
        <n v="1563"/>
        <n v="1303"/>
        <n v="1389"/>
        <n v="1802"/>
        <n v="2663"/>
        <n v="2832"/>
        <n v="1579"/>
        <n v="1033"/>
        <n v="1265"/>
        <n v="2297"/>
        <n v="1117.5"/>
        <n v="1123"/>
        <n v="1757"/>
        <n v="1001"/>
        <n v="1834"/>
        <n v="1976"/>
        <n v="1535"/>
        <n v="609"/>
        <n v="1421"/>
        <n v="588"/>
        <n v="1118"/>
        <n v="1282"/>
        <n v="708"/>
        <n v="645"/>
        <n v="1366"/>
        <n v="1934"/>
        <n v="2993"/>
        <n v="1520"/>
        <n v="436.5"/>
        <n v="1694"/>
        <n v="663"/>
        <n v="973"/>
        <n v="1038"/>
        <n v="2682"/>
        <n v="1954"/>
        <n v="241"/>
        <n v="2039"/>
        <n v="2992"/>
        <n v="1122"/>
        <n v="2394"/>
        <n v="2805"/>
        <n v="2935"/>
        <n v="2629"/>
        <n v="1715"/>
        <n v="905"/>
        <n v="1233"/>
        <n v="2521.5"/>
        <n v="1531"/>
        <n v="442"/>
        <n v="2255"/>
        <n v="1249"/>
        <n v="2641"/>
        <n v="2708"/>
        <n v="2579"/>
        <n v="1743"/>
        <n v="2428"/>
        <n v="260"/>
        <n v="606"/>
        <n v="1158"/>
        <n v="267"/>
        <n v="293"/>
        <n v="865.5"/>
        <n v="2146"/>
        <n v="883"/>
        <n v="1143"/>
        <n v="1493"/>
        <n v="1686"/>
        <n v="3945"/>
        <n v="1030"/>
        <n v="639"/>
        <n v="1326"/>
        <n v="2529"/>
        <n v="1830"/>
        <n v="362"/>
        <n v="2092"/>
        <n v="263"/>
        <n v="2145"/>
        <n v="2013"/>
        <n v="1958"/>
        <n v="1760"/>
        <n v="2851"/>
        <n v="1159"/>
        <n v="1372"/>
        <n v="2349"/>
        <n v="2689"/>
        <n v="1683"/>
        <n v="1016"/>
        <n v="570"/>
        <n v="2487"/>
        <n v="2327"/>
        <n v="2136"/>
        <n v="1403"/>
        <n v="1498"/>
        <n v="1333"/>
        <n v="1031"/>
        <n v="1135"/>
        <n v="547"/>
        <n v="1582"/>
        <n v="2125"/>
        <n v="488"/>
        <n v="257"/>
        <n v="1259"/>
        <n v="1095"/>
        <n v="678"/>
        <n v="1598"/>
        <n v="2409"/>
        <n v="1946"/>
        <n v="2907"/>
        <n v="2338"/>
        <n v="1611"/>
        <n v="819"/>
        <n v="521"/>
        <n v="360"/>
        <n v="2328"/>
        <n v="2665"/>
        <n v="2532"/>
        <n v="2706"/>
        <n v="1808"/>
        <n v="380"/>
        <n v="2420"/>
        <n v="2734"/>
        <n v="3421.5"/>
        <n v="1491"/>
        <n v="1298"/>
        <n v="1438.5"/>
        <n v="2696"/>
        <n v="1190"/>
        <n v="2996"/>
        <n v="280"/>
        <n v="388"/>
        <n v="1727"/>
        <n v="1731"/>
        <n v="2903"/>
        <n v="2535"/>
        <n v="1368"/>
        <n v="723"/>
        <n v="2178"/>
        <n v="888"/>
        <n v="2470"/>
        <n v="921"/>
        <n v="2518"/>
        <n v="1545"/>
        <n v="345"/>
        <n v="615"/>
        <n v="2161"/>
        <n v="2838"/>
        <n v="1953"/>
        <n v="2141"/>
        <n v="1858"/>
        <n v="1445"/>
        <n v="330"/>
        <n v="2671"/>
        <n v="766"/>
        <n v="2214"/>
        <n v="1989"/>
        <n v="321"/>
        <n v="1295"/>
        <n v="1142"/>
        <n v="690"/>
        <n v="1055"/>
        <n v="1084"/>
        <n v="1947"/>
        <n v="908"/>
        <n v="1901"/>
        <n v="1916"/>
        <n v="1945"/>
        <n v="2479"/>
        <n v="2031"/>
        <n v="1967"/>
        <n v="1465"/>
        <n v="866"/>
        <n v="1514"/>
        <n v="671"/>
        <n v="2431"/>
        <n v="1865"/>
        <n v="1116"/>
        <n v="2791"/>
        <n v="2342"/>
        <n v="555"/>
        <n v="2861"/>
        <n v="2844"/>
        <n v="562"/>
        <n v="2299"/>
        <n v="2030"/>
        <n v="2723"/>
        <n v="1530"/>
        <n v="1153"/>
        <n v="727"/>
        <n v="1884"/>
        <n v="2340"/>
        <n v="1262"/>
        <n v="1738.5"/>
        <n v="2215"/>
        <n v="3244.5"/>
        <n v="490"/>
        <n v="2501"/>
        <n v="711"/>
        <n v="598"/>
        <n v="1375"/>
        <n v="367"/>
        <n v="2321"/>
        <n v="245"/>
        <n v="1956"/>
        <n v="880"/>
        <n v="2234"/>
        <n v="1227"/>
        <n v="970"/>
        <n v="1580"/>
        <n v="2628"/>
        <n v="1630.5"/>
        <n v="306"/>
        <n v="386"/>
        <n v="2072"/>
        <n v="681"/>
        <n v="510"/>
        <n v="790"/>
        <n v="341"/>
        <n v="641"/>
        <n v="2167"/>
        <n v="3520.5"/>
        <n v="2574"/>
        <n v="1198"/>
        <n v="384"/>
        <n v="472"/>
        <n v="1005"/>
        <n v="3199.5"/>
        <n v="1937"/>
        <n v="1560"/>
        <n v="2157"/>
        <n v="655"/>
        <n v="1734"/>
        <n v="677"/>
        <n v="2109"/>
        <n v="3874.5"/>
        <n v="2548"/>
        <n v="2661"/>
        <n v="2761"/>
        <n v="2567"/>
        <n v="604"/>
        <n v="3997.5"/>
        <n v="660"/>
        <n v="410"/>
        <n v="1013"/>
        <n v="1565"/>
        <n v="1770"/>
        <n v="1393"/>
        <n v="2015"/>
        <n v="1513"/>
        <n v="2300"/>
        <n v="2475"/>
        <n v="2914"/>
        <n v="1870"/>
        <n v="500"/>
        <n v="2826"/>
        <n v="914"/>
        <n v="492"/>
        <n v="1175"/>
        <n v="1806"/>
        <n v="974"/>
        <n v="549"/>
        <n v="2472"/>
        <n v="912"/>
        <n v="2152"/>
        <n v="2296"/>
        <n v="747"/>
        <n v="2363"/>
        <n v="1785"/>
        <n v="1925"/>
        <n v="1369.5"/>
        <n v="2261"/>
        <n v="218"/>
        <n v="2620"/>
        <n v="2116"/>
        <n v="3801"/>
        <n v="2198"/>
        <n v="2101"/>
        <n v="2931"/>
        <n v="2763"/>
        <n v="3675"/>
        <n v="1775"/>
        <n v="2425.5"/>
        <n v="1984"/>
        <n v="571"/>
        <n v="278"/>
        <n v="1767"/>
        <n v="2222"/>
        <n v="1614"/>
        <n v="2559"/>
        <m/>
      </sharedItems>
    </cacheField>
    <cacheField name="Manufacturing Price" numFmtId="0">
      <sharedItems containsString="0" containsBlank="1" containsNumber="1" containsInteger="1" minValue="3" maxValue="260"/>
    </cacheField>
    <cacheField name="Sale Price" numFmtId="0">
      <sharedItems containsString="0" containsBlank="1" containsNumber="1" containsInteger="1" minValue="7" maxValue="125"/>
    </cacheField>
    <cacheField name="Gross Sales" numFmtId="0">
      <sharedItems containsString="0" containsBlank="1" containsNumber="1" minValue="1799" maxValue="59962.5" count="313">
        <n v="32370"/>
        <n v="26420"/>
        <n v="37980"/>
        <n v="5840"/>
        <n v="36340"/>
        <n v="27510"/>
        <n v="31320"/>
        <n v="10880"/>
        <n v="24720"/>
        <n v="18820"/>
        <n v="51600"/>
        <n v="16620"/>
        <n v="14720"/>
        <n v="41480"/>
        <n v="21120"/>
        <n v="52920"/>
        <n v="31260"/>
        <n v="26060"/>
        <n v="27780"/>
        <n v="36040"/>
        <n v="53260"/>
        <n v="56640"/>
        <n v="31580"/>
        <n v="20660"/>
        <n v="25300"/>
        <n v="45940"/>
        <n v="22350"/>
        <n v="22460"/>
        <n v="35140"/>
        <n v="20020"/>
        <n v="36680"/>
        <n v="39520"/>
        <n v="30700"/>
        <n v="12180"/>
        <n v="28420"/>
        <n v="11760"/>
        <n v="22360"/>
        <n v="25640"/>
        <n v="14160"/>
        <n v="12900"/>
        <n v="27320"/>
        <n v="38680"/>
        <n v="59860"/>
        <n v="30400"/>
        <n v="8730"/>
        <n v="33880"/>
        <n v="13260"/>
        <n v="19460"/>
        <n v="20760"/>
        <n v="53640"/>
        <n v="39080"/>
        <n v="4820"/>
        <n v="40780"/>
        <n v="59840"/>
        <n v="22440"/>
        <n v="47880"/>
        <n v="56100"/>
        <n v="58700"/>
        <n v="52580"/>
        <n v="34300"/>
        <n v="18100"/>
        <n v="24660"/>
        <n v="50430"/>
        <n v="30620"/>
        <n v="8840"/>
        <n v="45100"/>
        <n v="24980"/>
        <n v="52820"/>
        <n v="54160"/>
        <n v="51580"/>
        <n v="34860"/>
        <n v="48560"/>
        <n v="5200"/>
        <n v="12120"/>
        <n v="23160"/>
        <n v="5340"/>
        <n v="5860"/>
        <n v="17310"/>
        <n v="15022"/>
        <n v="6181"/>
        <n v="8001"/>
        <n v="10451"/>
        <n v="11802"/>
        <n v="27615"/>
        <n v="7210"/>
        <n v="4473"/>
        <n v="9282"/>
        <n v="17703"/>
        <n v="12810"/>
        <n v="2534"/>
        <n v="14644"/>
        <n v="1841"/>
        <n v="15015"/>
        <n v="14091"/>
        <n v="13706"/>
        <n v="3808"/>
        <n v="12320"/>
        <n v="19957"/>
        <n v="8113"/>
        <n v="9604"/>
        <n v="16443"/>
        <n v="18823"/>
        <n v="11781"/>
        <n v="7112"/>
        <n v="3990"/>
        <n v="17409"/>
        <n v="16289"/>
        <n v="14952"/>
        <n v="9821"/>
        <n v="10486"/>
        <n v="9331"/>
        <n v="7217"/>
        <n v="7945"/>
        <n v="3829"/>
        <n v="11074"/>
        <n v="14875"/>
        <n v="3416"/>
        <n v="1799"/>
        <n v="8813"/>
        <n v="7665"/>
        <n v="4746"/>
        <n v="11186"/>
        <n v="16863"/>
        <n v="13622"/>
        <n v="20349"/>
        <n v="16366"/>
        <n v="11277"/>
        <n v="5733"/>
        <n v="3647"/>
        <n v="2520"/>
        <n v="16296"/>
        <n v="18655"/>
        <n v="17724"/>
        <n v="11053"/>
        <n v="18942"/>
        <n v="12656"/>
        <n v="2660"/>
        <n v="16940"/>
        <n v="19138"/>
        <n v="23950.5"/>
        <n v="10437"/>
        <n v="9086"/>
        <n v="10069.5"/>
        <n v="18872"/>
        <n v="8330"/>
        <n v="20972"/>
        <n v="1960"/>
        <n v="2051"/>
        <n v="2716"/>
        <n v="12089"/>
        <n v="12117"/>
        <n v="20321"/>
        <n v="17745"/>
        <n v="9576"/>
        <n v="5061"/>
        <n v="32670"/>
        <n v="13320"/>
        <n v="37050"/>
        <n v="13815"/>
        <n v="30216"/>
        <n v="18540"/>
        <n v="43125"/>
        <n v="9225"/>
        <n v="25932"/>
        <n v="34056"/>
        <n v="23436"/>
        <n v="25692"/>
        <n v="22296"/>
        <n v="17340"/>
        <n v="41250"/>
        <n v="32052"/>
        <n v="9192"/>
        <n v="33210"/>
        <n v="23868"/>
        <n v="4815"/>
        <n v="15540"/>
        <n v="13704"/>
        <n v="8280"/>
        <n v="12660"/>
        <n v="13008"/>
        <n v="23364"/>
        <n v="10896"/>
        <n v="22812"/>
        <n v="22992"/>
        <n v="29175"/>
        <n v="29748"/>
        <n v="30465"/>
        <n v="29505"/>
        <n v="17580"/>
        <n v="10392"/>
        <n v="22710"/>
        <n v="10065"/>
        <n v="29172"/>
        <n v="13476"/>
        <n v="22380"/>
        <n v="13392"/>
        <n v="41865"/>
        <n v="28104"/>
        <n v="8325"/>
        <n v="42915"/>
        <n v="42660"/>
        <n v="6744"/>
        <n v="27588"/>
        <n v="30450"/>
        <n v="32676"/>
        <n v="22950"/>
        <n v="17295"/>
        <n v="8724"/>
        <n v="22608"/>
        <n v="28080"/>
        <n v="18930"/>
        <n v="20862"/>
        <n v="26580"/>
        <n v="38934"/>
        <n v="7350"/>
        <n v="37515"/>
        <n v="10665"/>
        <n v="7176"/>
        <n v="16500"/>
        <n v="4404"/>
        <n v="27852"/>
        <n v="3675"/>
        <n v="23472"/>
        <n v="10560"/>
        <n v="26808"/>
        <n v="18405"/>
        <n v="14550"/>
        <n v="18960"/>
        <n v="23604"/>
        <n v="39420"/>
        <n v="24457.5"/>
        <n v="3672"/>
        <n v="4632"/>
        <n v="31080"/>
        <n v="10215"/>
        <n v="7650"/>
        <n v="11850"/>
        <n v="42625"/>
        <n v="9615"/>
        <n v="32505"/>
        <n v="42246"/>
        <n v="30888"/>
        <n v="14376"/>
        <n v="5760"/>
        <n v="5664"/>
        <n v="12060"/>
        <n v="47992.5"/>
        <n v="23244"/>
        <n v="23400"/>
        <n v="32355"/>
        <n v="9825"/>
        <n v="20808"/>
        <n v="40335"/>
        <n v="10155"/>
        <n v="25308"/>
        <n v="58117.5"/>
        <n v="38220"/>
        <n v="31932"/>
        <n v="33132"/>
        <n v="38505"/>
        <n v="7248"/>
        <n v="59962.5"/>
        <n v="9900"/>
        <n v="4920"/>
        <n v="12156"/>
        <n v="23475"/>
        <n v="21240"/>
        <n v="16716"/>
        <n v="24180"/>
        <n v="22695"/>
        <n v="34500"/>
        <n v="29700"/>
        <n v="26145"/>
        <n v="34968"/>
        <n v="28050"/>
        <n v="6000"/>
        <n v="42390"/>
        <n v="10968"/>
        <n v="7380"/>
        <n v="17625"/>
        <n v="21672"/>
        <n v="14610"/>
        <n v="8235"/>
        <n v="37080"/>
        <n v="10944"/>
        <n v="32280"/>
        <n v="34440"/>
        <n v="11205"/>
        <n v="35445"/>
        <n v="21420"/>
        <n v="28875"/>
        <n v="16434"/>
        <n v="33915"/>
        <n v="3270"/>
        <n v="39300"/>
        <n v="31740"/>
        <n v="57015"/>
        <n v="32970"/>
        <n v="31515"/>
        <n v="43965"/>
        <n v="33156"/>
        <n v="55125"/>
        <n v="21300"/>
        <n v="29106"/>
        <n v="29760"/>
        <n v="5700"/>
        <n v="6852"/>
        <n v="4170"/>
        <n v="26505"/>
        <n v="26664"/>
        <n v="24210"/>
        <n v="38385"/>
        <m/>
      </sharedItems>
    </cacheField>
    <cacheField name="Discounts" numFmtId="0">
      <sharedItems containsString="0" containsBlank="1" containsNumber="1" minValue="0" maxValue="7795.125" count="291">
        <n v="0"/>
        <n v="275.10000000000002"/>
        <n v="626.4"/>
        <n v="217.6"/>
        <n v="494.4"/>
        <n v="376.4"/>
        <n v="1548"/>
        <n v="498.6"/>
        <n v="588.79999999999995"/>
        <n v="1659.2"/>
        <n v="844.8"/>
        <n v="2116.8000000000002"/>
        <n v="1563"/>
        <n v="1303"/>
        <n v="1389"/>
        <n v="1802"/>
        <n v="2663"/>
        <n v="2832"/>
        <n v="1579"/>
        <n v="1033"/>
        <n v="1265"/>
        <n v="2297"/>
        <n v="1341"/>
        <n v="1347.6"/>
        <n v="2108.4"/>
        <n v="1201.2"/>
        <n v="2567.6"/>
        <n v="2766.4"/>
        <n v="2149"/>
        <n v="852.6"/>
        <n v="1989.4"/>
        <n v="823.2"/>
        <n v="1565.2"/>
        <n v="2051.1999999999998"/>
        <n v="1132.8"/>
        <n v="1032"/>
        <n v="2185.6"/>
        <n v="3094.4"/>
        <n v="4788.8"/>
        <n v="2432"/>
        <n v="698.4"/>
        <n v="3049.2"/>
        <n v="1193.4000000000001"/>
        <n v="1751.4"/>
        <n v="1868.4"/>
        <n v="4827.6000000000004"/>
        <n v="3908"/>
        <n v="482"/>
        <n v="4078"/>
        <n v="6582.4"/>
        <n v="2468.4"/>
        <n v="5266.8"/>
        <n v="6171"/>
        <n v="6457"/>
        <n v="5783.8"/>
        <n v="4116"/>
        <n v="2172"/>
        <n v="2959.2"/>
        <n v="6051.6"/>
        <n v="3674.4"/>
        <n v="1149.2"/>
        <n v="5863"/>
        <n v="3247.4"/>
        <n v="6866.6"/>
        <n v="7040.8"/>
        <n v="7221.2"/>
        <n v="4880.3999999999996"/>
        <n v="6798.4"/>
        <n v="728"/>
        <n v="1696.8"/>
        <n v="3474"/>
        <n v="801"/>
        <n v="879"/>
        <n v="2596.5"/>
        <n v="276.14999999999998"/>
        <n v="72.099999999999994"/>
        <n v="44.73"/>
        <n v="92.82"/>
        <n v="177.03"/>
        <n v="128.1"/>
        <n v="25.34"/>
        <n v="146.44"/>
        <n v="18.41"/>
        <n v="300.3"/>
        <n v="281.82"/>
        <n v="411.18"/>
        <n v="114.24"/>
        <n v="369.6"/>
        <n v="798.28"/>
        <n v="405.65"/>
        <n v="480.2"/>
        <n v="822.15"/>
        <n v="941.15"/>
        <n v="589.04999999999995"/>
        <n v="355.6"/>
        <n v="199.5"/>
        <n v="870.45"/>
        <n v="814.45"/>
        <n v="747.6"/>
        <n v="110.46"/>
        <n v="589.26"/>
        <n v="629.16"/>
        <n v="559.86"/>
        <n v="505.19"/>
        <n v="556.15"/>
        <n v="268.02999999999997"/>
        <n v="775.18"/>
        <n v="1041.25"/>
        <n v="273.27999999999997"/>
        <n v="143.91999999999999"/>
        <n v="705.04"/>
        <n v="613.20000000000005"/>
        <n v="379.68"/>
        <n v="894.88"/>
        <n v="1349.04"/>
        <n v="1089.76"/>
        <n v="1627.92"/>
        <n v="1309.28"/>
        <n v="1014.93"/>
        <n v="515.97"/>
        <n v="328.23"/>
        <n v="226.8"/>
        <n v="1629.6"/>
        <n v="1865.5"/>
        <n v="1949.64"/>
        <n v="1215.83"/>
        <n v="2083.62"/>
        <n v="1392.16"/>
        <n v="292.60000000000002"/>
        <n v="2032.8"/>
        <n v="2296.56"/>
        <n v="2874.06"/>
        <n v="1252.44"/>
        <n v="1181.18"/>
        <n v="1309.0350000000001"/>
        <n v="2453.36"/>
        <n v="1082.9000000000001"/>
        <n v="2936.08"/>
        <n v="274.39999999999998"/>
        <n v="287.14"/>
        <n v="380.24"/>
        <n v="1692.46"/>
        <n v="1696.38"/>
        <n v="2844.94"/>
        <n v="2661.75"/>
        <n v="1436.4"/>
        <n v="759.15"/>
        <n v="222.96"/>
        <n v="173.4"/>
        <n v="412.5"/>
        <n v="320.52"/>
        <n v="91.92"/>
        <n v="332.1"/>
        <n v="238.68"/>
        <n v="48.15"/>
        <n v="310.8"/>
        <n v="274.08"/>
        <n v="165.6"/>
        <n v="253.2"/>
        <n v="260.16000000000003"/>
        <n v="700.92"/>
        <n v="326.88"/>
        <n v="684.36"/>
        <n v="689.76"/>
        <n v="875.25"/>
        <n v="892.44"/>
        <n v="1218.5999999999999"/>
        <n v="1180.2"/>
        <n v="703.2"/>
        <n v="415.68"/>
        <n v="908.4"/>
        <n v="402.6"/>
        <n v="1458.6"/>
        <n v="673.8"/>
        <n v="1119"/>
        <n v="669.6"/>
        <n v="2093.25"/>
        <n v="1405.2"/>
        <n v="416.25"/>
        <n v="2145.75"/>
        <n v="2559.6"/>
        <n v="404.64"/>
        <n v="1655.28"/>
        <n v="1827"/>
        <n v="1960.56"/>
        <n v="1377"/>
        <n v="1037.7"/>
        <n v="610.67999999999995"/>
        <n v="1582.56"/>
        <n v="1965.6"/>
        <n v="1967.28"/>
        <n v="1325.1"/>
        <n v="1460.34"/>
        <n v="1860.6"/>
        <n v="2725.38"/>
        <n v="588"/>
        <n v="3001.2"/>
        <n v="853.2"/>
        <n v="574.08000000000004"/>
        <n v="1320"/>
        <n v="396.36"/>
        <n v="2506.6799999999998"/>
        <n v="330.75"/>
        <n v="2112.48"/>
        <n v="950.4"/>
        <n v="2412.7199999999998"/>
        <n v="1656.45"/>
        <n v="1309.5"/>
        <n v="1706.4"/>
        <n v="2124.36"/>
        <n v="3547.8"/>
        <n v="2201.1750000000002"/>
        <n v="330.48"/>
        <n v="463.2"/>
        <n v="3108"/>
        <n v="1021.5"/>
        <n v="765"/>
        <n v="1185"/>
        <n v="4262.5"/>
        <n v="961.5"/>
        <n v="3250.5"/>
        <n v="4224.6000000000004"/>
        <n v="3088.8"/>
        <n v="1581.36"/>
        <n v="633.6"/>
        <n v="623.04"/>
        <n v="1326.6"/>
        <n v="5279.1750000000002"/>
        <n v="2556.84"/>
        <n v="2574"/>
        <n v="3559.05"/>
        <n v="1080.75"/>
        <n v="2288.88"/>
        <n v="4840.2"/>
        <n v="3036.96"/>
        <n v="6974.1"/>
        <n v="4586.3999999999996"/>
        <n v="3831.84"/>
        <n v="3975.84"/>
        <n v="5005.6499999999996"/>
        <n v="942.24"/>
        <n v="7795.125"/>
        <n v="1287"/>
        <n v="639.6"/>
        <n v="1580.28"/>
        <n v="3051.75"/>
        <n v="2761.2"/>
        <n v="2340.2399999999998"/>
        <n v="3385.2"/>
        <n v="3177.3"/>
        <n v="4830"/>
        <n v="4158"/>
        <n v="3660.3"/>
        <n v="4895.5200000000004"/>
        <n v="3927"/>
        <n v="900"/>
        <n v="6358.5"/>
        <n v="1645.2"/>
        <n v="1107"/>
        <n v="2643.75"/>
        <n v="3250.8"/>
        <n v="344.4"/>
        <n v="227.1"/>
        <n v="112.05"/>
        <n v="708.9"/>
        <n v="428.4"/>
        <n v="577.5"/>
        <n v="493.02"/>
        <n v="1356.6"/>
        <n v="130.80000000000001"/>
        <n v="1965"/>
        <n v="1587"/>
        <n v="3420.9"/>
        <n v="1978.2"/>
        <n v="1568.7"/>
        <n v="2206.0500000000002"/>
        <n v="3077.55"/>
        <n v="2320.92"/>
        <n v="4961.25"/>
        <n v="1917"/>
        <n v="3201.66"/>
        <n v="3273.6"/>
        <n v="684"/>
        <n v="890.76"/>
        <n v="583.79999999999995"/>
        <n v="3710.7"/>
        <n v="5187"/>
        <n v="3732.96"/>
        <n v="3631.5"/>
        <n v="5757.75"/>
        <m/>
      </sharedItems>
    </cacheField>
    <cacheField name=" Sales" numFmtId="0">
      <sharedItems containsString="0" containsBlank="1" containsNumber="1" minValue="1655.08" maxValue="55071.199999999997" count="318">
        <n v="32370"/>
        <n v="26420"/>
        <n v="37980"/>
        <n v="5840"/>
        <n v="36340"/>
        <n v="27234.9"/>
        <n v="30693.599999999999"/>
        <n v="10662.4"/>
        <n v="24225.599999999999"/>
        <n v="18443.599999999999"/>
        <n v="50052"/>
        <n v="16121.4"/>
        <n v="14131.2"/>
        <n v="39820.800000000003"/>
        <n v="20275.2"/>
        <n v="50803.199999999997"/>
        <n v="29697"/>
        <n v="24757"/>
        <n v="26391"/>
        <n v="34238"/>
        <n v="50597"/>
        <n v="53808"/>
        <n v="30001"/>
        <n v="19627"/>
        <n v="24035"/>
        <n v="43643"/>
        <n v="21009"/>
        <n v="21112.400000000001"/>
        <n v="33031.599999999999"/>
        <n v="18818.8"/>
        <n v="34112.400000000001"/>
        <n v="36753.599999999999"/>
        <n v="28551"/>
        <n v="11327.4"/>
        <n v="26430.6"/>
        <n v="10936.8"/>
        <n v="20794.8"/>
        <n v="23588.799999999999"/>
        <n v="13027.2"/>
        <n v="11868"/>
        <n v="25134.400000000001"/>
        <n v="35585.599999999999"/>
        <n v="55071.199999999997"/>
        <n v="27968"/>
        <n v="8031.6"/>
        <n v="30830.799999999999"/>
        <n v="12066.6"/>
        <n v="17708.599999999999"/>
        <n v="18891.599999999999"/>
        <n v="48812.4"/>
        <n v="35172"/>
        <n v="4338"/>
        <n v="36702"/>
        <n v="53257.599999999999"/>
        <n v="19971.599999999999"/>
        <n v="42613.2"/>
        <n v="49929"/>
        <n v="52243"/>
        <n v="46796.2"/>
        <n v="30184"/>
        <n v="15928"/>
        <n v="21700.799999999999"/>
        <n v="44378.400000000001"/>
        <n v="26945.599999999999"/>
        <n v="7690.8"/>
        <n v="39237"/>
        <n v="21732.6"/>
        <n v="45953.4"/>
        <n v="47119.199999999997"/>
        <n v="44358.8"/>
        <n v="29979.599999999999"/>
        <n v="41761.599999999999"/>
        <n v="4472"/>
        <n v="10423.200000000001"/>
        <n v="19686"/>
        <n v="4539"/>
        <n v="4981"/>
        <n v="14713.5"/>
        <n v="15022"/>
        <n v="6181"/>
        <n v="8001"/>
        <n v="10451"/>
        <n v="11802"/>
        <n v="27338.85"/>
        <n v="7137.9"/>
        <n v="4428.2700000000004"/>
        <n v="9189.18"/>
        <n v="17525.97"/>
        <n v="12681.9"/>
        <n v="2508.66"/>
        <n v="14497.56"/>
        <n v="1822.59"/>
        <n v="14714.7"/>
        <n v="13809.18"/>
        <n v="13294.82"/>
        <n v="3693.76"/>
        <n v="11950.4"/>
        <n v="19158.72"/>
        <n v="7707.35"/>
        <n v="9123.7999999999993"/>
        <n v="15620.85"/>
        <n v="17881.849999999999"/>
        <n v="11191.95"/>
        <n v="6756.4"/>
        <n v="3790.5"/>
        <n v="16538.55"/>
        <n v="15474.55"/>
        <n v="14204.4"/>
        <n v="1730.54"/>
        <n v="9231.74"/>
        <n v="9856.84"/>
        <n v="8771.14"/>
        <n v="6711.81"/>
        <n v="7388.85"/>
        <n v="3560.97"/>
        <n v="10298.82"/>
        <n v="13833.75"/>
        <n v="3142.72"/>
        <n v="1655.08"/>
        <n v="8107.96"/>
        <n v="7051.8"/>
        <n v="4366.32"/>
        <n v="10291.120000000001"/>
        <n v="15513.96"/>
        <n v="12532.24"/>
        <n v="18721.080000000002"/>
        <n v="15056.72"/>
        <n v="10262.07"/>
        <n v="5217.03"/>
        <n v="3318.77"/>
        <n v="2293.1999999999998"/>
        <n v="14666.4"/>
        <n v="16789.5"/>
        <n v="15774.36"/>
        <n v="9837.17"/>
        <n v="16858.38"/>
        <n v="11263.84"/>
        <n v="2367.4"/>
        <n v="14907.2"/>
        <n v="16841.439999999999"/>
        <n v="21076.44"/>
        <n v="9184.56"/>
        <n v="7904.82"/>
        <n v="8760.4650000000001"/>
        <n v="16418.64"/>
        <n v="7247.1"/>
        <n v="18035.919999999998"/>
        <n v="1685.6"/>
        <n v="1763.86"/>
        <n v="2335.7600000000002"/>
        <n v="10396.540000000001"/>
        <n v="10420.620000000001"/>
        <n v="17476.060000000001"/>
        <n v="15083.25"/>
        <n v="8139.6"/>
        <n v="4301.8500000000004"/>
        <n v="32670"/>
        <n v="13320"/>
        <n v="37050"/>
        <n v="13815"/>
        <n v="30216"/>
        <n v="18540"/>
        <n v="43125"/>
        <n v="9225"/>
        <n v="25932"/>
        <n v="34056"/>
        <n v="23436"/>
        <n v="25692"/>
        <n v="22073.040000000001"/>
        <n v="17166.599999999999"/>
        <n v="40837.5"/>
        <n v="31731.48"/>
        <n v="9100.08"/>
        <n v="32877.9"/>
        <n v="23629.32"/>
        <n v="4766.8500000000004"/>
        <n v="15229.2"/>
        <n v="13429.92"/>
        <n v="8114.4"/>
        <n v="12406.8"/>
        <n v="12747.84"/>
        <n v="22663.08"/>
        <n v="10569.12"/>
        <n v="22127.64"/>
        <n v="22302.240000000002"/>
        <n v="28299.75"/>
        <n v="28855.56"/>
        <n v="29246.400000000001"/>
        <n v="28324.799999999999"/>
        <n v="16876.8"/>
        <n v="9976.32"/>
        <n v="21801.599999999999"/>
        <n v="9662.4"/>
        <n v="27713.4"/>
        <n v="12802.2"/>
        <n v="21261"/>
        <n v="12722.4"/>
        <n v="39771.75"/>
        <n v="26698.799999999999"/>
        <n v="7908.75"/>
        <n v="40769.25"/>
        <n v="40100.400000000001"/>
        <n v="6339.36"/>
        <n v="25932.720000000001"/>
        <n v="28623"/>
        <n v="30715.439999999999"/>
        <n v="21573"/>
        <n v="16257.3"/>
        <n v="8113.32"/>
        <n v="21025.439999999999"/>
        <n v="26114.400000000001"/>
        <n v="26136.720000000001"/>
        <n v="17604.900000000001"/>
        <n v="19401.66"/>
        <n v="24719.4"/>
        <n v="36208.620000000003"/>
        <n v="6762"/>
        <n v="34513.800000000003"/>
        <n v="9811.7999999999993"/>
        <n v="6601.92"/>
        <n v="15180"/>
        <n v="4007.64"/>
        <n v="25345.32"/>
        <n v="3344.25"/>
        <n v="21359.52"/>
        <n v="9609.6"/>
        <n v="24395.279999999999"/>
        <n v="16748.55"/>
        <n v="13240.5"/>
        <n v="17253.599999999999"/>
        <n v="21479.64"/>
        <n v="35872.199999999997"/>
        <n v="22256.325000000001"/>
        <n v="3341.52"/>
        <n v="4168.8"/>
        <n v="27972"/>
        <n v="9193.5"/>
        <n v="6885"/>
        <n v="10665"/>
        <n v="38362.5"/>
        <n v="8653.5"/>
        <n v="29254.5"/>
        <n v="38021.4"/>
        <n v="27799.200000000001"/>
        <n v="12794.64"/>
        <n v="5126.3999999999996"/>
        <n v="5040.96"/>
        <n v="10733.4"/>
        <n v="42713.324999999997"/>
        <n v="20687.16"/>
        <n v="20826"/>
        <n v="28795.95"/>
        <n v="8744.25"/>
        <n v="18519.12"/>
        <n v="35494.800000000003"/>
        <n v="8936.4"/>
        <n v="22271.040000000001"/>
        <n v="51143.4"/>
        <n v="33633.599999999999"/>
        <n v="28100.16"/>
        <n v="29156.16"/>
        <n v="33499.35"/>
        <n v="6305.76"/>
        <n v="52167.375"/>
        <n v="8613"/>
        <n v="4280.3999999999996"/>
        <n v="10575.72"/>
        <n v="20423.25"/>
        <n v="18478.8"/>
        <n v="14375.76"/>
        <n v="19517.7"/>
        <n v="29670"/>
        <n v="25542"/>
        <n v="22484.7"/>
        <n v="30072.48"/>
        <n v="24123"/>
        <n v="5100"/>
        <n v="36031.5"/>
        <n v="9322.7999999999993"/>
        <n v="6273"/>
        <n v="14981.25"/>
        <n v="18421.2"/>
        <n v="14610"/>
        <n v="4404"/>
        <n v="8235"/>
        <n v="37080"/>
        <n v="10944"/>
        <n v="32280"/>
        <n v="34095.599999999999"/>
        <n v="22482.9"/>
        <n v="11092.95"/>
        <n v="34736.1"/>
        <n v="20991.599999999999"/>
        <n v="28297.5"/>
        <n v="15940.98"/>
        <n v="32558.400000000001"/>
        <n v="3139.2"/>
        <n v="37335"/>
        <n v="30153"/>
        <n v="53594.1"/>
        <n v="30991.8"/>
        <n v="24576.3"/>
        <n v="29308.95"/>
        <n v="40887.449999999997"/>
        <n v="30835.08"/>
        <n v="50163.75"/>
        <n v="19383"/>
        <n v="25904.34"/>
        <n v="26486.400000000001"/>
        <n v="5016"/>
        <n v="5961.24"/>
        <n v="3586.2"/>
        <n v="22794.3"/>
        <n v="31863"/>
        <n v="22931.040000000001"/>
        <n v="20578.5"/>
        <n v="32627.25"/>
        <m/>
      </sharedItems>
    </cacheField>
    <cacheField name="COGS" numFmtId="0">
      <sharedItems containsString="0" containsBlank="1" containsNumber="1" minValue="918" maxValue="41400" count="309">
        <n v="16185"/>
        <n v="13210"/>
        <n v="18990"/>
        <n v="2920"/>
        <n v="18170"/>
        <n v="13755"/>
        <n v="15660"/>
        <n v="5440"/>
        <n v="12360"/>
        <n v="9410"/>
        <n v="25800"/>
        <n v="8310"/>
        <n v="7360"/>
        <n v="20740"/>
        <n v="10560"/>
        <n v="26460"/>
        <n v="15630"/>
        <n v="13030"/>
        <n v="13890"/>
        <n v="18020"/>
        <n v="26630"/>
        <n v="28320"/>
        <n v="15790"/>
        <n v="10330"/>
        <n v="12650"/>
        <n v="22970"/>
        <n v="11175"/>
        <n v="11230"/>
        <n v="17570"/>
        <n v="10010"/>
        <n v="18340"/>
        <n v="19760"/>
        <n v="15350"/>
        <n v="6090"/>
        <n v="14210"/>
        <n v="5880"/>
        <n v="11180"/>
        <n v="12820"/>
        <n v="7080"/>
        <n v="6450"/>
        <n v="13660"/>
        <n v="19340"/>
        <n v="29930"/>
        <n v="15200"/>
        <n v="4365"/>
        <n v="16940"/>
        <n v="6630"/>
        <n v="9730"/>
        <n v="10380"/>
        <n v="26820"/>
        <n v="19540"/>
        <n v="2410"/>
        <n v="20390"/>
        <n v="29920"/>
        <n v="11220"/>
        <n v="23940"/>
        <n v="28050"/>
        <n v="29350"/>
        <n v="26290"/>
        <n v="17150"/>
        <n v="9050"/>
        <n v="12330"/>
        <n v="25215"/>
        <n v="15310"/>
        <n v="4420"/>
        <n v="22550"/>
        <n v="12490"/>
        <n v="26410"/>
        <n v="27080"/>
        <n v="25790"/>
        <n v="17430"/>
        <n v="24280"/>
        <n v="2600"/>
        <n v="6060"/>
        <n v="11580"/>
        <n v="2670"/>
        <n v="2930"/>
        <n v="8655"/>
        <n v="10730"/>
        <n v="4415"/>
        <n v="5715"/>
        <n v="7465"/>
        <n v="8430"/>
        <n v="19725"/>
        <n v="5150"/>
        <n v="3195"/>
        <n v="12645"/>
        <n v="9150"/>
        <n v="1810"/>
        <n v="10460"/>
        <n v="1315"/>
        <n v="10725"/>
        <n v="10065"/>
        <n v="9790"/>
        <n v="2720"/>
        <n v="8800"/>
        <n v="14255"/>
        <n v="5795"/>
        <n v="6860"/>
        <n v="11745"/>
        <n v="13445"/>
        <n v="8415"/>
        <n v="5080"/>
        <n v="2850"/>
        <n v="12435"/>
        <n v="11635"/>
        <n v="10680"/>
        <n v="7015"/>
        <n v="7490"/>
        <n v="6665"/>
        <n v="5155"/>
        <n v="5675"/>
        <n v="2735"/>
        <n v="7910"/>
        <n v="10625"/>
        <n v="2440"/>
        <n v="1285"/>
        <n v="6295"/>
        <n v="5475"/>
        <n v="3390"/>
        <n v="7990"/>
        <n v="12045"/>
        <n v="14535"/>
        <n v="11690"/>
        <n v="8055"/>
        <n v="4095"/>
        <n v="2605"/>
        <n v="1800"/>
        <n v="11640"/>
        <n v="13325"/>
        <n v="12660"/>
        <n v="7895"/>
        <n v="13530"/>
        <n v="9040"/>
        <n v="1900"/>
        <n v="12100"/>
        <n v="13670"/>
        <n v="17107.5"/>
        <n v="7455"/>
        <n v="6490"/>
        <n v="7192.5"/>
        <n v="13480"/>
        <n v="5950"/>
        <n v="14980"/>
        <n v="1400"/>
        <n v="1465"/>
        <n v="1940"/>
        <n v="8635"/>
        <n v="14515"/>
        <n v="12675"/>
        <n v="6840"/>
        <n v="3615"/>
        <n v="21780"/>
        <n v="8880"/>
        <n v="24700"/>
        <n v="9210"/>
        <n v="7554"/>
        <n v="4635"/>
        <n v="41400"/>
        <n v="6150"/>
        <n v="6483"/>
        <n v="8514"/>
        <n v="5859"/>
        <n v="6423"/>
        <n v="5574"/>
        <n v="4335"/>
        <n v="39600"/>
        <n v="8013"/>
        <n v="2298"/>
        <n v="22140"/>
        <n v="5967"/>
        <n v="3210"/>
        <n v="3885"/>
        <n v="3426"/>
        <n v="2070"/>
        <n v="3165"/>
        <n v="3252"/>
        <n v="5841"/>
        <n v="2724"/>
        <n v="5703"/>
        <n v="5748"/>
        <n v="19450"/>
        <n v="7437"/>
        <n v="20310"/>
        <n v="19670"/>
        <n v="4395"/>
        <n v="2598"/>
        <n v="15140"/>
        <n v="6710"/>
        <n v="7293"/>
        <n v="3369"/>
        <n v="5595"/>
        <n v="3348"/>
        <n v="27910"/>
        <n v="7026"/>
        <n v="5550"/>
        <n v="28610"/>
        <n v="28440"/>
        <n v="1686"/>
        <n v="6897"/>
        <n v="20300"/>
        <n v="8169"/>
        <n v="15300"/>
        <n v="11530"/>
        <n v="2181"/>
        <n v="5652"/>
        <n v="7020"/>
        <n v="12620"/>
        <n v="5215.5"/>
        <n v="6645"/>
        <n v="9733.5"/>
        <n v="4900"/>
        <n v="25010"/>
        <n v="7110"/>
        <n v="1794"/>
        <n v="4125"/>
        <n v="1101"/>
        <n v="6963"/>
        <n v="2450"/>
        <n v="5868"/>
        <n v="2640"/>
        <n v="6702"/>
        <n v="12270"/>
        <n v="9700"/>
        <n v="4740"/>
        <n v="5901"/>
        <n v="26280"/>
        <n v="16305"/>
        <n v="918"/>
        <n v="1158"/>
        <n v="20720"/>
        <n v="6810"/>
        <n v="5100"/>
        <n v="7900"/>
        <n v="40920"/>
        <n v="6410"/>
        <n v="21670"/>
        <n v="10561.5"/>
        <n v="7722"/>
        <n v="3594"/>
        <n v="3840"/>
        <n v="1416"/>
        <n v="3015"/>
        <n v="31995"/>
        <n v="5811"/>
        <n v="15600"/>
        <n v="21570"/>
        <n v="6550"/>
        <n v="5202"/>
        <n v="26890"/>
        <n v="6770"/>
        <n v="6327"/>
        <n v="38745"/>
        <n v="25480"/>
        <n v="7983"/>
        <n v="8283"/>
        <n v="25670"/>
        <n v="1812"/>
        <n v="39975"/>
        <n v="6600"/>
        <n v="1230"/>
        <n v="3039"/>
        <n v="15650"/>
        <n v="5310"/>
        <n v="4179"/>
        <n v="6045"/>
        <n v="15130"/>
        <n v="23000"/>
        <n v="7425"/>
        <n v="8742"/>
        <n v="18700"/>
        <n v="1500"/>
        <n v="28260"/>
        <n v="2742"/>
        <n v="4920"/>
        <n v="11750"/>
        <n v="5418"/>
        <n v="9740"/>
        <n v="5490"/>
        <n v="24720"/>
        <n v="2736"/>
        <n v="21520"/>
        <n v="22960"/>
        <n v="7470"/>
        <n v="23630"/>
        <n v="5355"/>
        <n v="19250"/>
        <n v="4108.5"/>
        <n v="22610"/>
        <n v="2180"/>
        <n v="26200"/>
        <n v="21160"/>
        <n v="38010"/>
        <n v="21980"/>
        <n v="21010"/>
        <n v="29310"/>
        <n v="8289"/>
        <n v="36750"/>
        <n v="5325"/>
        <n v="7276.5"/>
        <n v="19840"/>
        <n v="3800"/>
        <n v="1713"/>
        <n v="2780"/>
        <n v="17670"/>
        <n v="6666"/>
        <n v="16140"/>
        <n v="25590"/>
        <m/>
      </sharedItems>
    </cacheField>
    <cacheField name="Profit" numFmtId="0">
      <sharedItems containsString="0" containsBlank="1" containsNumber="1" minValue="-2557.5" maxValue="27459.9" count="319">
        <n v="16185"/>
        <n v="13210"/>
        <n v="18990"/>
        <n v="2920"/>
        <n v="18170"/>
        <n v="13479.9"/>
        <n v="15033.6"/>
        <n v="5222.3999999999996"/>
        <n v="11865.6"/>
        <n v="9033.6"/>
        <n v="24252"/>
        <n v="7811.4"/>
        <n v="6771.2"/>
        <n v="19080.8"/>
        <n v="9715.2000000000007"/>
        <n v="24343.200000000001"/>
        <n v="14067"/>
        <n v="11727"/>
        <n v="12501"/>
        <n v="16218"/>
        <n v="23967"/>
        <n v="25488"/>
        <n v="14211"/>
        <n v="9297"/>
        <n v="11385"/>
        <n v="20673"/>
        <n v="9834"/>
        <n v="9882.4"/>
        <n v="15461.6"/>
        <n v="8808.7999999999993"/>
        <n v="15772.4"/>
        <n v="16993.599999999999"/>
        <n v="13201"/>
        <n v="5237.3999999999996"/>
        <n v="12220.6"/>
        <n v="5056.8"/>
        <n v="9614.7999999999993"/>
        <n v="10768.8"/>
        <n v="5947.2"/>
        <n v="5418"/>
        <n v="11474.4"/>
        <n v="16245.6"/>
        <n v="25141.200000000001"/>
        <n v="12768"/>
        <n v="3666.6"/>
        <n v="13890.8"/>
        <n v="5436.6"/>
        <n v="7978.6"/>
        <n v="8511.6"/>
        <n v="21992.400000000001"/>
        <n v="15632"/>
        <n v="1928"/>
        <n v="16312"/>
        <n v="23337.599999999999"/>
        <n v="8751.6"/>
        <n v="18673.2"/>
        <n v="21879"/>
        <n v="22893"/>
        <n v="20506.2"/>
        <n v="13034"/>
        <n v="6878"/>
        <n v="9370.7999999999993"/>
        <n v="19163.400000000001"/>
        <n v="11635.6"/>
        <n v="3270.8"/>
        <n v="16687"/>
        <n v="9242.6"/>
        <n v="19543.400000000001"/>
        <n v="20039.2"/>
        <n v="18568.8"/>
        <n v="12549.6"/>
        <n v="17481.599999999999"/>
        <n v="1872"/>
        <n v="4363.2"/>
        <n v="8106"/>
        <n v="1869"/>
        <n v="2051"/>
        <n v="6058.5"/>
        <n v="4292"/>
        <n v="1766"/>
        <n v="2286"/>
        <n v="2986"/>
        <n v="3372"/>
        <n v="7613.85"/>
        <n v="1987.9"/>
        <n v="1233.27"/>
        <n v="2559.1799999999998"/>
        <n v="4880.97"/>
        <n v="3531.9"/>
        <n v="698.66"/>
        <n v="4037.56"/>
        <n v="507.59"/>
        <n v="3989.7"/>
        <n v="3744.18"/>
        <n v="3504.82"/>
        <n v="973.76"/>
        <n v="3150.4"/>
        <n v="4903.72"/>
        <n v="1912.35"/>
        <n v="2263.8000000000002"/>
        <n v="3875.85"/>
        <n v="4436.8500000000004"/>
        <n v="2776.95"/>
        <n v="1676.4"/>
        <n v="940.5"/>
        <n v="4103.55"/>
        <n v="3839.55"/>
        <n v="3524.4"/>
        <n v="415.54"/>
        <n v="2216.7399999999998"/>
        <n v="2366.84"/>
        <n v="2106.14"/>
        <n v="1556.81"/>
        <n v="1713.85"/>
        <n v="825.97"/>
        <n v="2388.8200000000002"/>
        <n v="3208.75"/>
        <n v="702.72"/>
        <n v="370.08"/>
        <n v="1812.96"/>
        <n v="1576.8"/>
        <n v="976.32"/>
        <n v="2301.12"/>
        <n v="3468.96"/>
        <n v="2802.24"/>
        <n v="4186.08"/>
        <n v="3366.72"/>
        <n v="2207.0700000000002"/>
        <n v="1122.03"/>
        <n v="713.77"/>
        <n v="493.2"/>
        <n v="3026.4"/>
        <n v="3464.5"/>
        <n v="3114.36"/>
        <n v="1942.17"/>
        <n v="3328.38"/>
        <n v="2223.84"/>
        <n v="467.4"/>
        <n v="2807.2"/>
        <n v="3171.44"/>
        <n v="3968.94"/>
        <n v="1729.56"/>
        <n v="1414.82"/>
        <n v="1567.9649999999999"/>
        <n v="2938.64"/>
        <n v="1297.0999999999999"/>
        <n v="3055.92"/>
        <n v="285.60000000000002"/>
        <n v="298.86"/>
        <n v="395.76"/>
        <n v="1761.54"/>
        <n v="1765.62"/>
        <n v="2961.06"/>
        <n v="2408.25"/>
        <n v="1299.5999999999999"/>
        <n v="686.85"/>
        <n v="10890"/>
        <n v="4440"/>
        <n v="12350"/>
        <n v="4605"/>
        <n v="22662"/>
        <n v="13905"/>
        <n v="1725"/>
        <n v="3075"/>
        <n v="19449"/>
        <n v="25542"/>
        <n v="17577"/>
        <n v="19269"/>
        <n v="16499.04"/>
        <n v="12831.6"/>
        <n v="1237.5"/>
        <n v="23718.48"/>
        <n v="6802.08"/>
        <n v="10737.9"/>
        <n v="17662.32"/>
        <n v="1556.85"/>
        <n v="11344.2"/>
        <n v="10003.92"/>
        <n v="6044.4"/>
        <n v="9241.7999999999993"/>
        <n v="9495.84"/>
        <n v="16822.080000000002"/>
        <n v="7845.12"/>
        <n v="16424.64"/>
        <n v="16554.240000000002"/>
        <n v="8849.75"/>
        <n v="21418.560000000001"/>
        <n v="8936.4"/>
        <n v="8654.7999999999993"/>
        <n v="12481.8"/>
        <n v="7378.32"/>
        <n v="6661.6"/>
        <n v="2952.4"/>
        <n v="20420.400000000001"/>
        <n v="9433.2000000000007"/>
        <n v="15666"/>
        <n v="9374.4"/>
        <n v="11861.75"/>
        <n v="19672.8"/>
        <n v="2358.75"/>
        <n v="12159.25"/>
        <n v="11660.4"/>
        <n v="4653.3599999999997"/>
        <n v="19035.72"/>
        <n v="8323"/>
        <n v="22546.44"/>
        <n v="6273"/>
        <n v="4727.3"/>
        <n v="5932.32"/>
        <n v="15373.44"/>
        <n v="19094.400000000001"/>
        <n v="19110.72"/>
        <n v="4984.8999999999996"/>
        <n v="14186.16"/>
        <n v="18074.400000000001"/>
        <n v="26475.119999999999"/>
        <n v="1862"/>
        <n v="9503.7999999999993"/>
        <n v="2701.8"/>
        <n v="4807.92"/>
        <n v="11055"/>
        <n v="2906.64"/>
        <n v="18382.32"/>
        <n v="894.25"/>
        <n v="15491.52"/>
        <n v="6969.6"/>
        <n v="17693.28"/>
        <n v="4478.55"/>
        <n v="3540.5"/>
        <n v="12513.6"/>
        <n v="15578.64"/>
        <n v="9592.2000000000007"/>
        <n v="5951.3249999999998"/>
        <n v="2423.52"/>
        <n v="3010.8"/>
        <n v="7252"/>
        <n v="2383.5"/>
        <n v="1785"/>
        <n v="2765"/>
        <n v="-2557.5"/>
        <n v="2243.5"/>
        <n v="7584.5"/>
        <n v="27459.9"/>
        <n v="20077.2"/>
        <n v="9200.64"/>
        <n v="1286.4000000000001"/>
        <n v="3624.96"/>
        <n v="7718.4"/>
        <n v="10718.325000000001"/>
        <n v="14876.16"/>
        <n v="5226"/>
        <n v="7225.95"/>
        <n v="2194.25"/>
        <n v="13317.12"/>
        <n v="8604.7999999999993"/>
        <n v="2166.4"/>
        <n v="15944.04"/>
        <n v="12398.4"/>
        <n v="8153.6"/>
        <n v="20117.16"/>
        <n v="20873.16"/>
        <n v="7829.35"/>
        <n v="4493.76"/>
        <n v="12192.375"/>
        <n v="2013"/>
        <n v="3050.4"/>
        <n v="7536.72"/>
        <n v="4773.25"/>
        <n v="13168.8"/>
        <n v="10196.76"/>
        <n v="14749.8"/>
        <n v="4387.7"/>
        <n v="6670"/>
        <n v="18117"/>
        <n v="5054.7"/>
        <n v="21330.48"/>
        <n v="5423"/>
        <n v="3600"/>
        <n v="7771.5"/>
        <n v="6580.8"/>
        <n v="1353"/>
        <n v="3231.25"/>
        <n v="13003.2"/>
        <n v="4870"/>
        <n v="3303"/>
        <n v="2745"/>
        <n v="12360"/>
        <n v="8208"/>
        <n v="10760"/>
        <n v="11135.6"/>
        <n v="7342.9"/>
        <n v="3622.95"/>
        <n v="11106.1"/>
        <n v="15636.6"/>
        <n v="9047.5"/>
        <n v="11832.48"/>
        <n v="9948.4"/>
        <n v="959.2"/>
        <n v="11135"/>
        <n v="8993"/>
        <n v="15584.1"/>
        <n v="9011.7999999999993"/>
        <n v="7146.3"/>
        <n v="8298.9500000000007"/>
        <n v="11577.45"/>
        <n v="22546.080000000002"/>
        <n v="13413.75"/>
        <n v="14058"/>
        <n v="18627.84"/>
        <n v="6646.4"/>
        <n v="1216"/>
        <n v="4248.24"/>
        <n v="806.2"/>
        <n v="5124.3"/>
        <n v="7163"/>
        <n v="16265.04"/>
        <n v="4438.5"/>
        <n v="7037.25"/>
        <m/>
      </sharedItems>
    </cacheField>
    <cacheField name="Date" numFmtId="0">
      <sharedItems containsNonDate="0" containsDate="1" containsString="0" containsBlank="1" minDate="2013-09-01T00:00:00" maxDate="2014-12-02T00:00:00" count="17">
        <d v="2014-01-01T00:00:00"/>
        <d v="2014-06-01T00:00:00"/>
        <d v="2014-02-01T00:00:00"/>
        <d v="2014-12-01T00:00:00"/>
        <d v="2014-07-01T00:00:00"/>
        <d v="2014-10-01T00:00:00"/>
        <d v="2013-12-01T00:00:00"/>
        <d v="2014-11-01T00:00:00"/>
        <d v="2014-04-01T00:00:00"/>
        <d v="2014-05-01T00:00:00"/>
        <d v="2013-09-01T00:00:00"/>
        <d v="2014-09-01T00:00:00"/>
        <d v="2013-10-01T00:00:00"/>
        <d v="2014-08-01T00:00:00"/>
        <d v="2013-11-01T00:00:00"/>
        <d v="2014-03-01T00:00:00"/>
        <m/>
      </sharedItems>
    </cacheField>
    <cacheField name="Month Number" numFmtId="0">
      <sharedItems containsString="0" containsBlank="1" containsNumber="1" containsInteger="1" minValue="1" maxValue="12"/>
    </cacheField>
    <cacheField name="Month Name" numFmtId="0">
      <sharedItems containsBlank="1" count="13">
        <s v="January"/>
        <s v="June"/>
        <s v="February"/>
        <s v="December"/>
        <s v="July"/>
        <s v="October"/>
        <s v="November"/>
        <s v="April"/>
        <s v="May"/>
        <s v="September"/>
        <s v="August"/>
        <s v="March"/>
        <m/>
      </sharedItems>
    </cacheField>
    <cacheField name="Year" numFmtId="0">
      <sharedItems containsString="0" containsBlank="1" containsNumber="1" containsInteger="1" minValue="2013" maxValue="2014" count="3">
        <n v="2014"/>
        <n v="2013"/>
        <m/>
      </sharedItems>
    </cacheField>
  </cacheFields>
  <extLst>
    <ext xmlns:x14="http://schemas.microsoft.com/office/spreadsheetml/2009/9/main" uri="{725AE2AE-9491-48be-B2B4-4EB974FC3084}">
      <x14:pivotCacheDefinition pivotCacheId="2835233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9">
  <r>
    <x v="0"/>
    <x v="0"/>
    <x v="0"/>
    <x v="0"/>
    <n v="1618.5"/>
    <n v="3"/>
    <n v="20"/>
    <n v="32370"/>
    <n v="0"/>
    <n v="32370"/>
    <n v="16185"/>
    <n v="16185"/>
    <d v="2014-01-01T00:00:00"/>
    <n v="1"/>
    <s v="January"/>
    <n v="2014"/>
  </r>
  <r>
    <x v="0"/>
    <x v="1"/>
    <x v="0"/>
    <x v="0"/>
    <n v="1321"/>
    <n v="3"/>
    <n v="20"/>
    <n v="26420"/>
    <n v="0"/>
    <n v="26420"/>
    <n v="13210"/>
    <n v="13210"/>
    <d v="2014-01-01T00:00:00"/>
    <n v="1"/>
    <s v="January"/>
    <n v="2014"/>
  </r>
  <r>
    <x v="0"/>
    <x v="2"/>
    <x v="1"/>
    <x v="0"/>
    <n v="1899"/>
    <n v="5"/>
    <n v="20"/>
    <n v="37980"/>
    <n v="0"/>
    <n v="37980"/>
    <n v="18990"/>
    <n v="18990"/>
    <d v="2014-06-01T00:00:00"/>
    <n v="6"/>
    <s v="June"/>
    <n v="2014"/>
  </r>
  <r>
    <x v="0"/>
    <x v="0"/>
    <x v="2"/>
    <x v="0"/>
    <n v="292"/>
    <n v="10"/>
    <n v="20"/>
    <n v="5840"/>
    <n v="0"/>
    <n v="5840"/>
    <n v="2920"/>
    <n v="2920"/>
    <d v="2014-02-01T00:00:00"/>
    <n v="2"/>
    <s v="February"/>
    <n v="2014"/>
  </r>
  <r>
    <x v="0"/>
    <x v="0"/>
    <x v="2"/>
    <x v="0"/>
    <n v="1817"/>
    <n v="10"/>
    <n v="20"/>
    <n v="36340"/>
    <n v="0"/>
    <n v="36340"/>
    <n v="18170"/>
    <n v="18170"/>
    <d v="2014-12-01T00:00:00"/>
    <n v="12"/>
    <s v="December"/>
    <n v="2014"/>
  </r>
  <r>
    <x v="0"/>
    <x v="0"/>
    <x v="3"/>
    <x v="0"/>
    <n v="1817"/>
    <n v="250"/>
    <n v="20"/>
    <n v="36340"/>
    <n v="0"/>
    <n v="36340"/>
    <n v="18170"/>
    <n v="18170"/>
    <d v="2014-12-01T00:00:00"/>
    <n v="12"/>
    <s v="December"/>
    <n v="2014"/>
  </r>
  <r>
    <x v="0"/>
    <x v="2"/>
    <x v="4"/>
    <x v="0"/>
    <n v="1899"/>
    <n v="260"/>
    <n v="20"/>
    <n v="37980"/>
    <n v="0"/>
    <n v="37980"/>
    <n v="18990"/>
    <n v="18990"/>
    <d v="2014-06-01T00:00:00"/>
    <n v="6"/>
    <s v="June"/>
    <n v="2014"/>
  </r>
  <r>
    <x v="0"/>
    <x v="2"/>
    <x v="1"/>
    <x v="1"/>
    <n v="1375.5"/>
    <n v="5"/>
    <n v="20"/>
    <n v="27510"/>
    <n v="275.10000000000002"/>
    <n v="27234.9"/>
    <n v="13755"/>
    <n v="13479.9"/>
    <d v="2014-07-01T00:00:00"/>
    <n v="7"/>
    <s v="July"/>
    <n v="2014"/>
  </r>
  <r>
    <x v="0"/>
    <x v="3"/>
    <x v="1"/>
    <x v="1"/>
    <n v="1566"/>
    <n v="5"/>
    <n v="20"/>
    <n v="31320"/>
    <n v="626.4"/>
    <n v="30693.599999999999"/>
    <n v="15660"/>
    <n v="15033.6"/>
    <d v="2014-10-01T00:00:00"/>
    <n v="10"/>
    <s v="October"/>
    <n v="2014"/>
  </r>
  <r>
    <x v="0"/>
    <x v="3"/>
    <x v="5"/>
    <x v="1"/>
    <n v="1566"/>
    <n v="120"/>
    <n v="20"/>
    <n v="31320"/>
    <n v="626.4"/>
    <n v="30693.599999999999"/>
    <n v="15660"/>
    <n v="15033.6"/>
    <d v="2014-10-01T00:00:00"/>
    <n v="10"/>
    <s v="October"/>
    <n v="2014"/>
  </r>
  <r>
    <x v="0"/>
    <x v="4"/>
    <x v="5"/>
    <x v="1"/>
    <n v="544"/>
    <n v="120"/>
    <n v="20"/>
    <n v="10880"/>
    <n v="217.6"/>
    <n v="10662.4"/>
    <n v="5440"/>
    <n v="5222.3999999999996"/>
    <d v="2013-12-01T00:00:00"/>
    <n v="12"/>
    <s v="December"/>
    <n v="2013"/>
  </r>
  <r>
    <x v="0"/>
    <x v="3"/>
    <x v="4"/>
    <x v="1"/>
    <n v="1236"/>
    <n v="260"/>
    <n v="20"/>
    <n v="24720"/>
    <n v="494.4"/>
    <n v="24225.599999999999"/>
    <n v="12360"/>
    <n v="11865.6"/>
    <d v="2014-11-01T00:00:00"/>
    <n v="11"/>
    <s v="November"/>
    <n v="2014"/>
  </r>
  <r>
    <x v="0"/>
    <x v="2"/>
    <x v="4"/>
    <x v="1"/>
    <n v="941"/>
    <n v="260"/>
    <n v="20"/>
    <n v="18820"/>
    <n v="376.4"/>
    <n v="18443.599999999999"/>
    <n v="9410"/>
    <n v="9033.6"/>
    <d v="2014-11-01T00:00:00"/>
    <n v="11"/>
    <s v="November"/>
    <n v="2014"/>
  </r>
  <r>
    <x v="0"/>
    <x v="1"/>
    <x v="0"/>
    <x v="1"/>
    <n v="2580"/>
    <n v="3"/>
    <n v="20"/>
    <n v="51600"/>
    <n v="1548"/>
    <n v="50052"/>
    <n v="25800"/>
    <n v="24252"/>
    <d v="2014-04-01T00:00:00"/>
    <n v="4"/>
    <s v="April"/>
    <n v="2014"/>
  </r>
  <r>
    <x v="0"/>
    <x v="0"/>
    <x v="0"/>
    <x v="1"/>
    <n v="831"/>
    <n v="3"/>
    <n v="20"/>
    <n v="16620"/>
    <n v="498.6"/>
    <n v="16121.4"/>
    <n v="8310"/>
    <n v="7811.4"/>
    <d v="2014-05-01T00:00:00"/>
    <n v="5"/>
    <s v="May"/>
    <n v="2014"/>
  </r>
  <r>
    <x v="0"/>
    <x v="3"/>
    <x v="5"/>
    <x v="1"/>
    <n v="736"/>
    <n v="120"/>
    <n v="20"/>
    <n v="14720"/>
    <n v="588.79999999999995"/>
    <n v="14131.2"/>
    <n v="7360"/>
    <n v="6771.2"/>
    <d v="2013-09-01T00:00:00"/>
    <n v="9"/>
    <s v="September"/>
    <n v="2013"/>
  </r>
  <r>
    <x v="0"/>
    <x v="0"/>
    <x v="2"/>
    <x v="1"/>
    <n v="2074"/>
    <n v="10"/>
    <n v="20"/>
    <n v="41480"/>
    <n v="1659.2"/>
    <n v="39820.800000000003"/>
    <n v="20740"/>
    <n v="19080.8"/>
    <d v="2014-09-01T00:00:00"/>
    <n v="9"/>
    <s v="September"/>
    <n v="2014"/>
  </r>
  <r>
    <x v="0"/>
    <x v="3"/>
    <x v="2"/>
    <x v="1"/>
    <n v="1056"/>
    <n v="10"/>
    <n v="20"/>
    <n v="21120"/>
    <n v="844.8"/>
    <n v="20275.2"/>
    <n v="10560"/>
    <n v="9715.2000000000007"/>
    <d v="2014-09-01T00:00:00"/>
    <n v="9"/>
    <s v="September"/>
    <n v="2014"/>
  </r>
  <r>
    <x v="0"/>
    <x v="0"/>
    <x v="5"/>
    <x v="1"/>
    <n v="2646"/>
    <n v="120"/>
    <n v="20"/>
    <n v="52920"/>
    <n v="2116.8000000000002"/>
    <n v="50803.199999999997"/>
    <n v="26460"/>
    <n v="24343.200000000001"/>
    <d v="2013-09-01T00:00:00"/>
    <n v="9"/>
    <s v="September"/>
    <n v="2013"/>
  </r>
  <r>
    <x v="0"/>
    <x v="2"/>
    <x v="0"/>
    <x v="2"/>
    <n v="1563"/>
    <n v="3"/>
    <n v="20"/>
    <n v="31260"/>
    <n v="1563"/>
    <n v="29697"/>
    <n v="15630"/>
    <n v="14067"/>
    <d v="2014-05-01T00:00:00"/>
    <n v="5"/>
    <s v="May"/>
    <n v="2014"/>
  </r>
  <r>
    <x v="0"/>
    <x v="2"/>
    <x v="2"/>
    <x v="2"/>
    <n v="1303"/>
    <n v="10"/>
    <n v="20"/>
    <n v="26060"/>
    <n v="1303"/>
    <n v="24757"/>
    <n v="13030"/>
    <n v="11727"/>
    <d v="2014-02-01T00:00:00"/>
    <n v="2"/>
    <s v="February"/>
    <n v="2014"/>
  </r>
  <r>
    <x v="0"/>
    <x v="0"/>
    <x v="2"/>
    <x v="2"/>
    <n v="1389"/>
    <n v="10"/>
    <n v="20"/>
    <n v="27780"/>
    <n v="1389"/>
    <n v="26391"/>
    <n v="13890"/>
    <n v="12501"/>
    <d v="2013-10-01T00:00:00"/>
    <n v="10"/>
    <s v="October"/>
    <n v="2013"/>
  </r>
  <r>
    <x v="0"/>
    <x v="0"/>
    <x v="2"/>
    <x v="2"/>
    <n v="1802"/>
    <n v="10"/>
    <n v="20"/>
    <n v="36040"/>
    <n v="1802"/>
    <n v="34238"/>
    <n v="18020"/>
    <n v="16218"/>
    <d v="2013-12-01T00:00:00"/>
    <n v="12"/>
    <s v="December"/>
    <n v="2013"/>
  </r>
  <r>
    <x v="0"/>
    <x v="3"/>
    <x v="2"/>
    <x v="2"/>
    <n v="2663"/>
    <n v="10"/>
    <n v="20"/>
    <n v="53260"/>
    <n v="2663"/>
    <n v="50597"/>
    <n v="26630"/>
    <n v="23967"/>
    <d v="2014-12-01T00:00:00"/>
    <n v="12"/>
    <s v="December"/>
    <n v="2014"/>
  </r>
  <r>
    <x v="0"/>
    <x v="3"/>
    <x v="5"/>
    <x v="2"/>
    <n v="2832"/>
    <n v="120"/>
    <n v="20"/>
    <n v="56640"/>
    <n v="2832"/>
    <n v="53808"/>
    <n v="28320"/>
    <n v="25488"/>
    <d v="2014-08-01T00:00:00"/>
    <n v="8"/>
    <s v="August"/>
    <n v="2014"/>
  </r>
  <r>
    <x v="0"/>
    <x v="2"/>
    <x v="5"/>
    <x v="2"/>
    <n v="1579"/>
    <n v="120"/>
    <n v="20"/>
    <n v="31580"/>
    <n v="1579"/>
    <n v="30001"/>
    <n v="15790"/>
    <n v="14211"/>
    <d v="2014-08-01T00:00:00"/>
    <n v="8"/>
    <s v="August"/>
    <n v="2014"/>
  </r>
  <r>
    <x v="0"/>
    <x v="2"/>
    <x v="5"/>
    <x v="2"/>
    <n v="1033"/>
    <n v="120"/>
    <n v="20"/>
    <n v="20660"/>
    <n v="1033"/>
    <n v="19627"/>
    <n v="10330"/>
    <n v="9297"/>
    <d v="2013-12-01T00:00:00"/>
    <n v="12"/>
    <s v="December"/>
    <n v="2013"/>
  </r>
  <r>
    <x v="0"/>
    <x v="0"/>
    <x v="3"/>
    <x v="2"/>
    <n v="1389"/>
    <n v="250"/>
    <n v="20"/>
    <n v="27780"/>
    <n v="1389"/>
    <n v="26391"/>
    <n v="13890"/>
    <n v="12501"/>
    <d v="2013-10-01T00:00:00"/>
    <n v="10"/>
    <s v="October"/>
    <n v="2013"/>
  </r>
  <r>
    <x v="0"/>
    <x v="3"/>
    <x v="3"/>
    <x v="2"/>
    <n v="1265"/>
    <n v="250"/>
    <n v="20"/>
    <n v="25300"/>
    <n v="1265"/>
    <n v="24035"/>
    <n v="12650"/>
    <n v="11385"/>
    <d v="2013-11-01T00:00:00"/>
    <n v="11"/>
    <s v="November"/>
    <n v="2013"/>
  </r>
  <r>
    <x v="0"/>
    <x v="1"/>
    <x v="3"/>
    <x v="2"/>
    <n v="2297"/>
    <n v="250"/>
    <n v="20"/>
    <n v="45940"/>
    <n v="2297"/>
    <n v="43643"/>
    <n v="22970"/>
    <n v="20673"/>
    <d v="2013-11-01T00:00:00"/>
    <n v="11"/>
    <s v="November"/>
    <n v="2013"/>
  </r>
  <r>
    <x v="0"/>
    <x v="3"/>
    <x v="3"/>
    <x v="2"/>
    <n v="2663"/>
    <n v="250"/>
    <n v="20"/>
    <n v="53260"/>
    <n v="2663"/>
    <n v="50597"/>
    <n v="26630"/>
    <n v="23967"/>
    <d v="2014-12-01T00:00:00"/>
    <n v="12"/>
    <s v="December"/>
    <n v="2014"/>
  </r>
  <r>
    <x v="0"/>
    <x v="3"/>
    <x v="0"/>
    <x v="2"/>
    <n v="1117.5"/>
    <n v="3"/>
    <n v="20"/>
    <n v="22350"/>
    <n v="1341"/>
    <n v="21009"/>
    <n v="11175"/>
    <n v="9834"/>
    <d v="2014-01-01T00:00:00"/>
    <n v="1"/>
    <s v="January"/>
    <n v="2014"/>
  </r>
  <r>
    <x v="0"/>
    <x v="4"/>
    <x v="3"/>
    <x v="2"/>
    <n v="1123"/>
    <n v="250"/>
    <n v="20"/>
    <n v="22460"/>
    <n v="1347.6"/>
    <n v="21112.400000000001"/>
    <n v="11230"/>
    <n v="9882.4"/>
    <d v="2013-11-01T00:00:00"/>
    <n v="11"/>
    <s v="November"/>
    <n v="2013"/>
  </r>
  <r>
    <x v="0"/>
    <x v="2"/>
    <x v="1"/>
    <x v="2"/>
    <n v="1757"/>
    <n v="5"/>
    <n v="20"/>
    <n v="35140"/>
    <n v="2108.4"/>
    <n v="33031.599999999999"/>
    <n v="17570"/>
    <n v="15461.6"/>
    <d v="2013-10-01T00:00:00"/>
    <n v="10"/>
    <s v="October"/>
    <n v="2013"/>
  </r>
  <r>
    <x v="0"/>
    <x v="2"/>
    <x v="2"/>
    <x v="2"/>
    <n v="1757"/>
    <n v="10"/>
    <n v="20"/>
    <n v="35140"/>
    <n v="2108.4"/>
    <n v="33031.599999999999"/>
    <n v="17570"/>
    <n v="15461.6"/>
    <d v="2013-10-01T00:00:00"/>
    <n v="10"/>
    <s v="October"/>
    <n v="2013"/>
  </r>
  <r>
    <x v="0"/>
    <x v="1"/>
    <x v="5"/>
    <x v="2"/>
    <n v="1001"/>
    <n v="120"/>
    <n v="20"/>
    <n v="20020"/>
    <n v="1201.2"/>
    <n v="18818.8"/>
    <n v="10010"/>
    <n v="8808.7999999999993"/>
    <d v="2014-08-01T00:00:00"/>
    <n v="8"/>
    <s v="August"/>
    <n v="2014"/>
  </r>
  <r>
    <x v="0"/>
    <x v="4"/>
    <x v="0"/>
    <x v="2"/>
    <n v="1834"/>
    <n v="3"/>
    <n v="20"/>
    <n v="36680"/>
    <n v="2567.6"/>
    <n v="34112.400000000001"/>
    <n v="18340"/>
    <n v="15772.4"/>
    <d v="2013-09-01T00:00:00"/>
    <n v="9"/>
    <s v="September"/>
    <n v="2013"/>
  </r>
  <r>
    <x v="0"/>
    <x v="2"/>
    <x v="1"/>
    <x v="2"/>
    <n v="1976"/>
    <n v="5"/>
    <n v="20"/>
    <n v="39520"/>
    <n v="2766.4"/>
    <n v="36753.599999999999"/>
    <n v="19760"/>
    <n v="16993.599999999999"/>
    <d v="2014-10-01T00:00:00"/>
    <n v="10"/>
    <s v="October"/>
    <n v="2014"/>
  </r>
  <r>
    <x v="0"/>
    <x v="2"/>
    <x v="2"/>
    <x v="2"/>
    <n v="1535"/>
    <n v="10"/>
    <n v="20"/>
    <n v="30700"/>
    <n v="2149"/>
    <n v="28551"/>
    <n v="15350"/>
    <n v="13201"/>
    <d v="2014-09-01T00:00:00"/>
    <n v="9"/>
    <s v="September"/>
    <n v="2014"/>
  </r>
  <r>
    <x v="0"/>
    <x v="4"/>
    <x v="5"/>
    <x v="2"/>
    <n v="609"/>
    <n v="120"/>
    <n v="20"/>
    <n v="12180"/>
    <n v="852.6"/>
    <n v="11327.4"/>
    <n v="6090"/>
    <n v="5237.3999999999996"/>
    <d v="2014-08-01T00:00:00"/>
    <n v="8"/>
    <s v="August"/>
    <n v="2014"/>
  </r>
  <r>
    <x v="0"/>
    <x v="2"/>
    <x v="5"/>
    <x v="2"/>
    <n v="1976"/>
    <n v="120"/>
    <n v="20"/>
    <n v="39520"/>
    <n v="2766.4"/>
    <n v="36753.599999999999"/>
    <n v="19760"/>
    <n v="16993.599999999999"/>
    <d v="2014-10-01T00:00:00"/>
    <n v="10"/>
    <s v="October"/>
    <n v="2014"/>
  </r>
  <r>
    <x v="0"/>
    <x v="3"/>
    <x v="5"/>
    <x v="2"/>
    <n v="1421"/>
    <n v="120"/>
    <n v="20"/>
    <n v="28420"/>
    <n v="1989.4"/>
    <n v="26430.6"/>
    <n v="14210"/>
    <n v="12220.6"/>
    <d v="2013-12-01T00:00:00"/>
    <n v="12"/>
    <s v="December"/>
    <n v="2013"/>
  </r>
  <r>
    <x v="0"/>
    <x v="1"/>
    <x v="5"/>
    <x v="2"/>
    <n v="588"/>
    <n v="120"/>
    <n v="20"/>
    <n v="11760"/>
    <n v="823.2"/>
    <n v="10936.8"/>
    <n v="5880"/>
    <n v="5056.8"/>
    <d v="2013-12-01T00:00:00"/>
    <n v="12"/>
    <s v="December"/>
    <n v="2013"/>
  </r>
  <r>
    <x v="0"/>
    <x v="0"/>
    <x v="4"/>
    <x v="2"/>
    <n v="1118"/>
    <n v="260"/>
    <n v="20"/>
    <n v="22360"/>
    <n v="1565.2"/>
    <n v="20794.8"/>
    <n v="11180"/>
    <n v="9614.7999999999993"/>
    <d v="2014-11-01T00:00:00"/>
    <n v="11"/>
    <s v="November"/>
    <n v="2014"/>
  </r>
  <r>
    <x v="0"/>
    <x v="3"/>
    <x v="1"/>
    <x v="2"/>
    <n v="1282"/>
    <n v="5"/>
    <n v="20"/>
    <n v="25640"/>
    <n v="2051.1999999999998"/>
    <n v="23588.799999999999"/>
    <n v="12820"/>
    <n v="10768.8"/>
    <d v="2014-06-01T00:00:00"/>
    <n v="6"/>
    <s v="June"/>
    <n v="2014"/>
  </r>
  <r>
    <x v="0"/>
    <x v="3"/>
    <x v="4"/>
    <x v="2"/>
    <n v="1282"/>
    <n v="260"/>
    <n v="20"/>
    <n v="25640"/>
    <n v="2051.1999999999998"/>
    <n v="23588.799999999999"/>
    <n v="12820"/>
    <n v="10768.8"/>
    <d v="2014-06-01T00:00:00"/>
    <n v="6"/>
    <s v="June"/>
    <n v="2014"/>
  </r>
  <r>
    <x v="0"/>
    <x v="0"/>
    <x v="1"/>
    <x v="2"/>
    <n v="708"/>
    <n v="5"/>
    <n v="20"/>
    <n v="14160"/>
    <n v="1132.8"/>
    <n v="13027.2"/>
    <n v="7080"/>
    <n v="5947.2"/>
    <d v="2014-06-01T00:00:00"/>
    <n v="6"/>
    <s v="June"/>
    <n v="2014"/>
  </r>
  <r>
    <x v="0"/>
    <x v="1"/>
    <x v="1"/>
    <x v="2"/>
    <n v="645"/>
    <n v="5"/>
    <n v="20"/>
    <n v="12900"/>
    <n v="1032"/>
    <n v="11868"/>
    <n v="6450"/>
    <n v="5418"/>
    <d v="2014-07-01T00:00:00"/>
    <n v="7"/>
    <s v="July"/>
    <n v="2014"/>
  </r>
  <r>
    <x v="0"/>
    <x v="1"/>
    <x v="2"/>
    <x v="2"/>
    <n v="1366"/>
    <n v="10"/>
    <n v="20"/>
    <n v="27320"/>
    <n v="2185.6"/>
    <n v="25134.400000000001"/>
    <n v="13660"/>
    <n v="11474.4"/>
    <d v="2014-06-01T00:00:00"/>
    <n v="6"/>
    <s v="June"/>
    <n v="2014"/>
  </r>
  <r>
    <x v="0"/>
    <x v="1"/>
    <x v="2"/>
    <x v="2"/>
    <n v="1934"/>
    <n v="10"/>
    <n v="20"/>
    <n v="38680"/>
    <n v="3094.4"/>
    <n v="35585.599999999999"/>
    <n v="19340"/>
    <n v="16245.6"/>
    <d v="2014-09-01T00:00:00"/>
    <n v="9"/>
    <s v="September"/>
    <n v="2014"/>
  </r>
  <r>
    <x v="0"/>
    <x v="4"/>
    <x v="2"/>
    <x v="2"/>
    <n v="2993"/>
    <n v="10"/>
    <n v="20"/>
    <n v="59860"/>
    <n v="4788.8"/>
    <n v="55071.199999999997"/>
    <n v="29930"/>
    <n v="25141.200000000001"/>
    <d v="2014-09-01T00:00:00"/>
    <n v="9"/>
    <s v="September"/>
    <n v="2014"/>
  </r>
  <r>
    <x v="0"/>
    <x v="0"/>
    <x v="4"/>
    <x v="2"/>
    <n v="708"/>
    <n v="260"/>
    <n v="20"/>
    <n v="14160"/>
    <n v="1132.8"/>
    <n v="13027.2"/>
    <n v="7080"/>
    <n v="5947.2"/>
    <d v="2014-06-01T00:00:00"/>
    <n v="6"/>
    <s v="June"/>
    <n v="2014"/>
  </r>
  <r>
    <x v="0"/>
    <x v="1"/>
    <x v="4"/>
    <x v="2"/>
    <n v="1366"/>
    <n v="260"/>
    <n v="20"/>
    <n v="27320"/>
    <n v="2185.6"/>
    <n v="25134.400000000001"/>
    <n v="13660"/>
    <n v="11474.4"/>
    <d v="2014-06-01T00:00:00"/>
    <n v="6"/>
    <s v="June"/>
    <n v="2014"/>
  </r>
  <r>
    <x v="0"/>
    <x v="1"/>
    <x v="4"/>
    <x v="2"/>
    <n v="1520"/>
    <n v="260"/>
    <n v="20"/>
    <n v="30400"/>
    <n v="2432"/>
    <n v="27968"/>
    <n v="15200"/>
    <n v="12768"/>
    <d v="2014-11-01T00:00:00"/>
    <n v="11"/>
    <s v="November"/>
    <n v="2014"/>
  </r>
  <r>
    <x v="0"/>
    <x v="3"/>
    <x v="3"/>
    <x v="2"/>
    <n v="436.5"/>
    <n v="250"/>
    <n v="20"/>
    <n v="8730"/>
    <n v="698.4"/>
    <n v="8031.6"/>
    <n v="4365"/>
    <n v="3666.6"/>
    <d v="2014-07-01T00:00:00"/>
    <n v="7"/>
    <s v="July"/>
    <n v="2014"/>
  </r>
  <r>
    <x v="0"/>
    <x v="4"/>
    <x v="4"/>
    <x v="2"/>
    <n v="1694"/>
    <n v="260"/>
    <n v="20"/>
    <n v="33880"/>
    <n v="3049.2"/>
    <n v="30830.799999999999"/>
    <n v="16940"/>
    <n v="13890.8"/>
    <d v="2014-11-01T00:00:00"/>
    <n v="11"/>
    <s v="November"/>
    <n v="2014"/>
  </r>
  <r>
    <x v="0"/>
    <x v="1"/>
    <x v="0"/>
    <x v="2"/>
    <n v="663"/>
    <n v="3"/>
    <n v="20"/>
    <n v="13260"/>
    <n v="1193.4000000000001"/>
    <n v="12066.6"/>
    <n v="6630"/>
    <n v="5436.6"/>
    <d v="2014-05-01T00:00:00"/>
    <n v="5"/>
    <s v="May"/>
    <n v="2014"/>
  </r>
  <r>
    <x v="0"/>
    <x v="3"/>
    <x v="2"/>
    <x v="2"/>
    <n v="973"/>
    <n v="10"/>
    <n v="20"/>
    <n v="19460"/>
    <n v="1751.4"/>
    <n v="17708.599999999999"/>
    <n v="9730"/>
    <n v="7978.6"/>
    <d v="2014-03-01T00:00:00"/>
    <n v="3"/>
    <s v="March"/>
    <n v="2014"/>
  </r>
  <r>
    <x v="0"/>
    <x v="4"/>
    <x v="2"/>
    <x v="2"/>
    <n v="1038"/>
    <n v="10"/>
    <n v="20"/>
    <n v="20760"/>
    <n v="1868.4"/>
    <n v="18891.599999999999"/>
    <n v="10380"/>
    <n v="8511.6"/>
    <d v="2014-06-01T00:00:00"/>
    <n v="6"/>
    <s v="June"/>
    <n v="2014"/>
  </r>
  <r>
    <x v="0"/>
    <x v="2"/>
    <x v="3"/>
    <x v="2"/>
    <n v="2682"/>
    <n v="250"/>
    <n v="20"/>
    <n v="53640"/>
    <n v="4827.6000000000004"/>
    <n v="48812.4"/>
    <n v="26820"/>
    <n v="21992.400000000001"/>
    <d v="2013-11-01T00:00:00"/>
    <n v="11"/>
    <s v="November"/>
    <n v="2013"/>
  </r>
  <r>
    <x v="0"/>
    <x v="4"/>
    <x v="4"/>
    <x v="2"/>
    <n v="1038"/>
    <n v="260"/>
    <n v="20"/>
    <n v="20760"/>
    <n v="1868.4"/>
    <n v="18891.599999999999"/>
    <n v="10380"/>
    <n v="8511.6"/>
    <d v="2014-06-01T00:00:00"/>
    <n v="6"/>
    <s v="June"/>
    <n v="2014"/>
  </r>
  <r>
    <x v="0"/>
    <x v="2"/>
    <x v="2"/>
    <x v="0"/>
    <n v="1954"/>
    <n v="10"/>
    <n v="20"/>
    <n v="39080"/>
    <n v="3908"/>
    <n v="35172"/>
    <n v="19540"/>
    <n v="15632"/>
    <d v="2014-03-01T00:00:00"/>
    <n v="3"/>
    <s v="March"/>
    <n v="2014"/>
  </r>
  <r>
    <x v="0"/>
    <x v="1"/>
    <x v="2"/>
    <x v="0"/>
    <n v="241"/>
    <n v="10"/>
    <n v="20"/>
    <n v="4820"/>
    <n v="482"/>
    <n v="4338"/>
    <n v="2410"/>
    <n v="1928"/>
    <d v="2014-10-01T00:00:00"/>
    <n v="10"/>
    <s v="October"/>
    <n v="2014"/>
  </r>
  <r>
    <x v="0"/>
    <x v="1"/>
    <x v="5"/>
    <x v="0"/>
    <n v="241"/>
    <n v="120"/>
    <n v="20"/>
    <n v="4820"/>
    <n v="482"/>
    <n v="4338"/>
    <n v="2410"/>
    <n v="1928"/>
    <d v="2014-10-01T00:00:00"/>
    <n v="10"/>
    <s v="October"/>
    <n v="2014"/>
  </r>
  <r>
    <x v="0"/>
    <x v="4"/>
    <x v="4"/>
    <x v="0"/>
    <n v="2039"/>
    <n v="260"/>
    <n v="20"/>
    <n v="40780"/>
    <n v="4078"/>
    <n v="36702"/>
    <n v="20390"/>
    <n v="16312"/>
    <d v="2014-05-01T00:00:00"/>
    <n v="5"/>
    <s v="May"/>
    <n v="2014"/>
  </r>
  <r>
    <x v="0"/>
    <x v="1"/>
    <x v="1"/>
    <x v="0"/>
    <n v="2992"/>
    <n v="5"/>
    <n v="20"/>
    <n v="59840"/>
    <n v="6582.4"/>
    <n v="53257.599999999999"/>
    <n v="29920"/>
    <n v="23337.599999999999"/>
    <d v="2013-10-01T00:00:00"/>
    <n v="10"/>
    <s v="October"/>
    <n v="2013"/>
  </r>
  <r>
    <x v="0"/>
    <x v="4"/>
    <x v="2"/>
    <x v="0"/>
    <n v="1122"/>
    <n v="10"/>
    <n v="20"/>
    <n v="22440"/>
    <n v="2468.4"/>
    <n v="19971.599999999999"/>
    <n v="11220"/>
    <n v="8751.6"/>
    <d v="2014-03-01T00:00:00"/>
    <n v="3"/>
    <s v="March"/>
    <n v="2014"/>
  </r>
  <r>
    <x v="0"/>
    <x v="0"/>
    <x v="2"/>
    <x v="0"/>
    <n v="2394"/>
    <n v="10"/>
    <n v="20"/>
    <n v="47880"/>
    <n v="5266.8"/>
    <n v="42613.2"/>
    <n v="23940"/>
    <n v="18673.2"/>
    <d v="2014-08-01T00:00:00"/>
    <n v="8"/>
    <s v="August"/>
    <n v="2014"/>
  </r>
  <r>
    <x v="0"/>
    <x v="1"/>
    <x v="2"/>
    <x v="0"/>
    <n v="2992"/>
    <n v="10"/>
    <n v="20"/>
    <n v="59840"/>
    <n v="6582.4"/>
    <n v="53257.599999999999"/>
    <n v="29920"/>
    <n v="23337.599999999999"/>
    <d v="2013-10-01T00:00:00"/>
    <n v="10"/>
    <s v="October"/>
    <n v="2013"/>
  </r>
  <r>
    <x v="0"/>
    <x v="2"/>
    <x v="5"/>
    <x v="0"/>
    <n v="2805"/>
    <n v="120"/>
    <n v="20"/>
    <n v="56100"/>
    <n v="6171"/>
    <n v="49929"/>
    <n v="28050"/>
    <n v="21879"/>
    <d v="2013-09-01T00:00:00"/>
    <n v="9"/>
    <s v="September"/>
    <n v="2013"/>
  </r>
  <r>
    <x v="0"/>
    <x v="0"/>
    <x v="3"/>
    <x v="0"/>
    <n v="2935"/>
    <n v="250"/>
    <n v="20"/>
    <n v="58700"/>
    <n v="6457"/>
    <n v="52243"/>
    <n v="29350"/>
    <n v="22893"/>
    <d v="2013-11-01T00:00:00"/>
    <n v="11"/>
    <s v="November"/>
    <n v="2013"/>
  </r>
  <r>
    <x v="0"/>
    <x v="4"/>
    <x v="4"/>
    <x v="0"/>
    <n v="2629"/>
    <n v="260"/>
    <n v="20"/>
    <n v="52580"/>
    <n v="5783.8"/>
    <n v="46796.2"/>
    <n v="26290"/>
    <n v="20506.2"/>
    <d v="2014-01-01T00:00:00"/>
    <n v="1"/>
    <s v="January"/>
    <n v="2014"/>
  </r>
  <r>
    <x v="0"/>
    <x v="4"/>
    <x v="1"/>
    <x v="0"/>
    <n v="1715"/>
    <n v="5"/>
    <n v="20"/>
    <n v="34300"/>
    <n v="4116"/>
    <n v="30184"/>
    <n v="17150"/>
    <n v="13034"/>
    <d v="2013-10-01T00:00:00"/>
    <n v="10"/>
    <s v="October"/>
    <n v="2013"/>
  </r>
  <r>
    <x v="0"/>
    <x v="4"/>
    <x v="2"/>
    <x v="0"/>
    <n v="905"/>
    <n v="10"/>
    <n v="20"/>
    <n v="18100"/>
    <n v="2172"/>
    <n v="15928"/>
    <n v="9050"/>
    <n v="6878"/>
    <d v="2014-10-01T00:00:00"/>
    <n v="10"/>
    <s v="October"/>
    <n v="2014"/>
  </r>
  <r>
    <x v="0"/>
    <x v="4"/>
    <x v="2"/>
    <x v="0"/>
    <n v="1715"/>
    <n v="10"/>
    <n v="20"/>
    <n v="34300"/>
    <n v="4116"/>
    <n v="30184"/>
    <n v="17150"/>
    <n v="13034"/>
    <d v="2013-10-01T00:00:00"/>
    <n v="10"/>
    <s v="October"/>
    <n v="2013"/>
  </r>
  <r>
    <x v="0"/>
    <x v="4"/>
    <x v="2"/>
    <x v="0"/>
    <n v="1233"/>
    <n v="10"/>
    <n v="20"/>
    <n v="24660"/>
    <n v="2959.2"/>
    <n v="21700.799999999999"/>
    <n v="12330"/>
    <n v="9370.7999999999993"/>
    <d v="2014-12-01T00:00:00"/>
    <n v="12"/>
    <s v="December"/>
    <n v="2014"/>
  </r>
  <r>
    <x v="0"/>
    <x v="4"/>
    <x v="5"/>
    <x v="0"/>
    <n v="905"/>
    <n v="120"/>
    <n v="20"/>
    <n v="18100"/>
    <n v="2172"/>
    <n v="15928"/>
    <n v="9050"/>
    <n v="6878"/>
    <d v="2014-10-01T00:00:00"/>
    <n v="10"/>
    <s v="October"/>
    <n v="2014"/>
  </r>
  <r>
    <x v="0"/>
    <x v="4"/>
    <x v="3"/>
    <x v="0"/>
    <n v="1233"/>
    <n v="250"/>
    <n v="20"/>
    <n v="24660"/>
    <n v="2959.2"/>
    <n v="21700.799999999999"/>
    <n v="12330"/>
    <n v="9370.7999999999993"/>
    <d v="2014-12-01T00:00:00"/>
    <n v="12"/>
    <s v="December"/>
    <n v="2014"/>
  </r>
  <r>
    <x v="0"/>
    <x v="2"/>
    <x v="0"/>
    <x v="0"/>
    <n v="2521.5"/>
    <n v="3"/>
    <n v="20"/>
    <n v="50430"/>
    <n v="6051.6"/>
    <n v="44378.400000000001"/>
    <n v="25215"/>
    <n v="19163.400000000001"/>
    <d v="2014-01-01T00:00:00"/>
    <n v="1"/>
    <s v="January"/>
    <n v="2014"/>
  </r>
  <r>
    <x v="0"/>
    <x v="1"/>
    <x v="2"/>
    <x v="0"/>
    <n v="1531"/>
    <n v="10"/>
    <n v="20"/>
    <n v="30620"/>
    <n v="3674.4"/>
    <n v="26945.599999999999"/>
    <n v="15310"/>
    <n v="11635.6"/>
    <d v="2014-12-01T00:00:00"/>
    <n v="12"/>
    <s v="December"/>
    <n v="2014"/>
  </r>
  <r>
    <x v="0"/>
    <x v="1"/>
    <x v="3"/>
    <x v="0"/>
    <n v="1531"/>
    <n v="250"/>
    <n v="20"/>
    <n v="30620"/>
    <n v="3674.4"/>
    <n v="26945.599999999999"/>
    <n v="15310"/>
    <n v="11635.6"/>
    <d v="2014-12-01T00:00:00"/>
    <n v="12"/>
    <s v="December"/>
    <n v="2014"/>
  </r>
  <r>
    <x v="0"/>
    <x v="1"/>
    <x v="0"/>
    <x v="0"/>
    <n v="442"/>
    <n v="3"/>
    <n v="20"/>
    <n v="8840"/>
    <n v="1149.2"/>
    <n v="7690.8"/>
    <n v="4420"/>
    <n v="3270.8"/>
    <d v="2013-09-01T00:00:00"/>
    <n v="9"/>
    <s v="September"/>
    <n v="2013"/>
  </r>
  <r>
    <x v="0"/>
    <x v="4"/>
    <x v="1"/>
    <x v="0"/>
    <n v="2255"/>
    <n v="5"/>
    <n v="20"/>
    <n v="45100"/>
    <n v="5863"/>
    <n v="39237"/>
    <n v="22550"/>
    <n v="16687"/>
    <d v="2014-07-01T00:00:00"/>
    <n v="7"/>
    <s v="July"/>
    <n v="2014"/>
  </r>
  <r>
    <x v="0"/>
    <x v="0"/>
    <x v="1"/>
    <x v="0"/>
    <n v="1249"/>
    <n v="5"/>
    <n v="20"/>
    <n v="24980"/>
    <n v="3247.4"/>
    <n v="21732.6"/>
    <n v="12490"/>
    <n v="9242.6"/>
    <d v="2014-10-01T00:00:00"/>
    <n v="10"/>
    <s v="October"/>
    <n v="2014"/>
  </r>
  <r>
    <x v="0"/>
    <x v="3"/>
    <x v="2"/>
    <x v="0"/>
    <n v="2641"/>
    <n v="10"/>
    <n v="20"/>
    <n v="52820"/>
    <n v="6866.6"/>
    <n v="45953.4"/>
    <n v="26410"/>
    <n v="19543.400000000001"/>
    <d v="2014-02-01T00:00:00"/>
    <n v="2"/>
    <s v="February"/>
    <n v="2014"/>
  </r>
  <r>
    <x v="0"/>
    <x v="1"/>
    <x v="2"/>
    <x v="0"/>
    <n v="2708"/>
    <n v="10"/>
    <n v="20"/>
    <n v="54160"/>
    <n v="7040.8"/>
    <n v="47119.199999999997"/>
    <n v="27080"/>
    <n v="20039.2"/>
    <d v="2014-02-01T00:00:00"/>
    <n v="2"/>
    <s v="February"/>
    <n v="2014"/>
  </r>
  <r>
    <x v="0"/>
    <x v="0"/>
    <x v="2"/>
    <x v="0"/>
    <n v="1249"/>
    <n v="10"/>
    <n v="20"/>
    <n v="24980"/>
    <n v="3247.4"/>
    <n v="21732.6"/>
    <n v="12490"/>
    <n v="9242.6"/>
    <d v="2014-10-01T00:00:00"/>
    <n v="10"/>
    <s v="October"/>
    <n v="2014"/>
  </r>
  <r>
    <x v="0"/>
    <x v="4"/>
    <x v="0"/>
    <x v="0"/>
    <n v="2579"/>
    <n v="3"/>
    <n v="20"/>
    <n v="51580"/>
    <n v="7221.2"/>
    <n v="44358.8"/>
    <n v="25790"/>
    <n v="18568.8"/>
    <d v="2014-04-01T00:00:00"/>
    <n v="4"/>
    <s v="April"/>
    <n v="2014"/>
  </r>
  <r>
    <x v="0"/>
    <x v="3"/>
    <x v="0"/>
    <x v="0"/>
    <n v="1743"/>
    <n v="3"/>
    <n v="20"/>
    <n v="34860"/>
    <n v="4880.3999999999996"/>
    <n v="29979.599999999999"/>
    <n v="17430"/>
    <n v="12549.6"/>
    <d v="2014-05-01T00:00:00"/>
    <n v="5"/>
    <s v="May"/>
    <n v="2014"/>
  </r>
  <r>
    <x v="0"/>
    <x v="0"/>
    <x v="2"/>
    <x v="0"/>
    <n v="2428"/>
    <n v="10"/>
    <n v="20"/>
    <n v="48560"/>
    <n v="6798.4"/>
    <n v="41761.599999999999"/>
    <n v="24280"/>
    <n v="17481.599999999999"/>
    <d v="2014-03-01T00:00:00"/>
    <n v="3"/>
    <s v="March"/>
    <n v="2014"/>
  </r>
  <r>
    <x v="0"/>
    <x v="4"/>
    <x v="2"/>
    <x v="0"/>
    <n v="260"/>
    <n v="10"/>
    <n v="20"/>
    <n v="5200"/>
    <n v="728"/>
    <n v="4472"/>
    <n v="2600"/>
    <n v="1872"/>
    <d v="2014-02-01T00:00:00"/>
    <n v="2"/>
    <s v="February"/>
    <n v="2014"/>
  </r>
  <r>
    <x v="0"/>
    <x v="3"/>
    <x v="5"/>
    <x v="0"/>
    <n v="606"/>
    <n v="120"/>
    <n v="20"/>
    <n v="12120"/>
    <n v="1696.8"/>
    <n v="10423.200000000001"/>
    <n v="6060"/>
    <n v="4363.2"/>
    <d v="2014-04-01T00:00:00"/>
    <n v="4"/>
    <s v="April"/>
    <n v="2014"/>
  </r>
  <r>
    <x v="0"/>
    <x v="1"/>
    <x v="2"/>
    <x v="0"/>
    <n v="1158"/>
    <n v="10"/>
    <n v="20"/>
    <n v="23160"/>
    <n v="3474"/>
    <n v="19686"/>
    <n v="11580"/>
    <n v="8106"/>
    <d v="2014-03-01T00:00:00"/>
    <n v="3"/>
    <s v="March"/>
    <n v="2014"/>
  </r>
  <r>
    <x v="0"/>
    <x v="3"/>
    <x v="2"/>
    <x v="0"/>
    <n v="267"/>
    <n v="10"/>
    <n v="20"/>
    <n v="5340"/>
    <n v="801"/>
    <n v="4539"/>
    <n v="2670"/>
    <n v="1869"/>
    <d v="2013-10-01T00:00:00"/>
    <n v="10"/>
    <s v="October"/>
    <n v="2013"/>
  </r>
  <r>
    <x v="0"/>
    <x v="2"/>
    <x v="2"/>
    <x v="0"/>
    <n v="293"/>
    <n v="10"/>
    <n v="20"/>
    <n v="5860"/>
    <n v="879"/>
    <n v="4981"/>
    <n v="2930"/>
    <n v="2051"/>
    <d v="2014-12-01T00:00:00"/>
    <n v="12"/>
    <s v="December"/>
    <n v="2014"/>
  </r>
  <r>
    <x v="0"/>
    <x v="0"/>
    <x v="3"/>
    <x v="0"/>
    <n v="865.5"/>
    <n v="250"/>
    <n v="20"/>
    <n v="17310"/>
    <n v="2596.5"/>
    <n v="14713.5"/>
    <n v="8655"/>
    <n v="6058.5"/>
    <d v="2014-07-01T00:00:00"/>
    <n v="7"/>
    <s v="July"/>
    <n v="2014"/>
  </r>
  <r>
    <x v="0"/>
    <x v="3"/>
    <x v="3"/>
    <x v="0"/>
    <n v="267"/>
    <n v="250"/>
    <n v="20"/>
    <n v="5340"/>
    <n v="801"/>
    <n v="4539"/>
    <n v="2670"/>
    <n v="1869"/>
    <d v="2013-10-01T00:00:00"/>
    <n v="10"/>
    <s v="October"/>
    <n v="2013"/>
  </r>
  <r>
    <x v="0"/>
    <x v="2"/>
    <x v="3"/>
    <x v="0"/>
    <n v="293"/>
    <n v="250"/>
    <n v="20"/>
    <n v="5860"/>
    <n v="879"/>
    <n v="4981"/>
    <n v="2930"/>
    <n v="2051"/>
    <d v="2014-12-01T00:00:00"/>
    <n v="12"/>
    <s v="December"/>
    <n v="2014"/>
  </r>
  <r>
    <x v="0"/>
    <x v="1"/>
    <x v="1"/>
    <x v="0"/>
    <n v="2146"/>
    <n v="5"/>
    <n v="7"/>
    <n v="15022"/>
    <n v="0"/>
    <n v="15022"/>
    <n v="10730"/>
    <n v="4292"/>
    <d v="2014-09-01T00:00:00"/>
    <n v="9"/>
    <s v="September"/>
    <n v="2014"/>
  </r>
  <r>
    <x v="0"/>
    <x v="4"/>
    <x v="2"/>
    <x v="0"/>
    <n v="883"/>
    <n v="10"/>
    <n v="7"/>
    <n v="6181"/>
    <n v="0"/>
    <n v="6181"/>
    <n v="4415"/>
    <n v="1766"/>
    <d v="2014-08-01T00:00:00"/>
    <n v="8"/>
    <s v="August"/>
    <n v="2014"/>
  </r>
  <r>
    <x v="0"/>
    <x v="3"/>
    <x v="2"/>
    <x v="0"/>
    <n v="1143"/>
    <n v="10"/>
    <n v="7"/>
    <n v="8001"/>
    <n v="0"/>
    <n v="8001"/>
    <n v="5715"/>
    <n v="2286"/>
    <d v="2014-10-01T00:00:00"/>
    <n v="10"/>
    <s v="October"/>
    <n v="2014"/>
  </r>
  <r>
    <x v="0"/>
    <x v="4"/>
    <x v="5"/>
    <x v="0"/>
    <n v="1493"/>
    <n v="120"/>
    <n v="7"/>
    <n v="10451"/>
    <n v="0"/>
    <n v="10451"/>
    <n v="7465"/>
    <n v="2986"/>
    <d v="2014-01-01T00:00:00"/>
    <n v="1"/>
    <s v="January"/>
    <n v="2014"/>
  </r>
  <r>
    <x v="0"/>
    <x v="1"/>
    <x v="4"/>
    <x v="0"/>
    <n v="1686"/>
    <n v="260"/>
    <n v="7"/>
    <n v="11802"/>
    <n v="0"/>
    <n v="11802"/>
    <n v="8430"/>
    <n v="3372"/>
    <d v="2014-07-01T00:00:00"/>
    <n v="7"/>
    <s v="July"/>
    <n v="2014"/>
  </r>
  <r>
    <x v="0"/>
    <x v="3"/>
    <x v="4"/>
    <x v="0"/>
    <n v="1143"/>
    <n v="260"/>
    <n v="7"/>
    <n v="8001"/>
    <n v="0"/>
    <n v="8001"/>
    <n v="5715"/>
    <n v="2286"/>
    <d v="2014-10-01T00:00:00"/>
    <n v="10"/>
    <s v="October"/>
    <n v="2014"/>
  </r>
  <r>
    <x v="0"/>
    <x v="2"/>
    <x v="2"/>
    <x v="1"/>
    <n v="3945"/>
    <n v="10"/>
    <n v="7"/>
    <n v="27615"/>
    <n v="276.14999999999998"/>
    <n v="27338.85"/>
    <n v="19725"/>
    <n v="7613.85"/>
    <d v="2014-01-01T00:00:00"/>
    <n v="1"/>
    <s v="January"/>
    <n v="2014"/>
  </r>
  <r>
    <x v="0"/>
    <x v="2"/>
    <x v="2"/>
    <x v="1"/>
    <n v="1030"/>
    <n v="10"/>
    <n v="7"/>
    <n v="7210"/>
    <n v="72.099999999999994"/>
    <n v="7137.9"/>
    <n v="5150"/>
    <n v="1987.9"/>
    <d v="2014-05-01T00:00:00"/>
    <n v="5"/>
    <s v="May"/>
    <n v="2014"/>
  </r>
  <r>
    <x v="0"/>
    <x v="2"/>
    <x v="5"/>
    <x v="1"/>
    <n v="639"/>
    <n v="120"/>
    <n v="7"/>
    <n v="4473"/>
    <n v="44.73"/>
    <n v="4428.2700000000004"/>
    <n v="3195"/>
    <n v="1233.27"/>
    <d v="2014-11-01T00:00:00"/>
    <n v="11"/>
    <s v="November"/>
    <n v="2014"/>
  </r>
  <r>
    <x v="0"/>
    <x v="0"/>
    <x v="3"/>
    <x v="1"/>
    <n v="1326"/>
    <n v="250"/>
    <n v="7"/>
    <n v="9282"/>
    <n v="92.82"/>
    <n v="9189.18"/>
    <n v="6630"/>
    <n v="2559.1799999999998"/>
    <d v="2014-03-01T00:00:00"/>
    <n v="3"/>
    <s v="March"/>
    <n v="2014"/>
  </r>
  <r>
    <x v="0"/>
    <x v="3"/>
    <x v="0"/>
    <x v="1"/>
    <n v="2529"/>
    <n v="3"/>
    <n v="7"/>
    <n v="17703"/>
    <n v="177.03"/>
    <n v="17525.97"/>
    <n v="12645"/>
    <n v="4880.97"/>
    <d v="2014-07-01T00:00:00"/>
    <n v="7"/>
    <s v="July"/>
    <n v="2014"/>
  </r>
  <r>
    <x v="0"/>
    <x v="0"/>
    <x v="1"/>
    <x v="1"/>
    <n v="1830"/>
    <n v="5"/>
    <n v="7"/>
    <n v="12810"/>
    <n v="128.1"/>
    <n v="12681.9"/>
    <n v="9150"/>
    <n v="3531.9"/>
    <d v="2014-08-01T00:00:00"/>
    <n v="8"/>
    <s v="August"/>
    <n v="2014"/>
  </r>
  <r>
    <x v="0"/>
    <x v="4"/>
    <x v="5"/>
    <x v="1"/>
    <n v="362"/>
    <n v="120"/>
    <n v="7"/>
    <n v="2534"/>
    <n v="25.34"/>
    <n v="2508.66"/>
    <n v="1810"/>
    <n v="698.66"/>
    <d v="2014-05-01T00:00:00"/>
    <n v="5"/>
    <s v="May"/>
    <n v="2014"/>
  </r>
  <r>
    <x v="0"/>
    <x v="0"/>
    <x v="5"/>
    <x v="1"/>
    <n v="2092"/>
    <n v="120"/>
    <n v="7"/>
    <n v="14644"/>
    <n v="146.44"/>
    <n v="14497.56"/>
    <n v="10460"/>
    <n v="4037.56"/>
    <d v="2013-11-01T00:00:00"/>
    <n v="11"/>
    <s v="November"/>
    <n v="2013"/>
  </r>
  <r>
    <x v="0"/>
    <x v="1"/>
    <x v="3"/>
    <x v="1"/>
    <n v="263"/>
    <n v="250"/>
    <n v="7"/>
    <n v="1841"/>
    <n v="18.41"/>
    <n v="1822.59"/>
    <n v="1315"/>
    <n v="507.59"/>
    <d v="2014-03-01T00:00:00"/>
    <n v="3"/>
    <s v="March"/>
    <n v="2014"/>
  </r>
  <r>
    <x v="0"/>
    <x v="2"/>
    <x v="0"/>
    <x v="1"/>
    <n v="2145"/>
    <n v="3"/>
    <n v="7"/>
    <n v="15015"/>
    <n v="300.3"/>
    <n v="14714.7"/>
    <n v="10725"/>
    <n v="3989.7"/>
    <d v="2013-11-01T00:00:00"/>
    <n v="11"/>
    <s v="November"/>
    <n v="2013"/>
  </r>
  <r>
    <x v="0"/>
    <x v="3"/>
    <x v="2"/>
    <x v="1"/>
    <n v="2013"/>
    <n v="10"/>
    <n v="7"/>
    <n v="14091"/>
    <n v="281.82"/>
    <n v="13809.18"/>
    <n v="10065"/>
    <n v="3744.18"/>
    <d v="2013-12-01T00:00:00"/>
    <n v="12"/>
    <s v="December"/>
    <n v="2013"/>
  </r>
  <r>
    <x v="0"/>
    <x v="1"/>
    <x v="1"/>
    <x v="1"/>
    <n v="1958"/>
    <n v="5"/>
    <n v="7"/>
    <n v="13706"/>
    <n v="411.18"/>
    <n v="13294.82"/>
    <n v="9790"/>
    <n v="3504.82"/>
    <d v="2014-02-01T00:00:00"/>
    <n v="2"/>
    <s v="February"/>
    <n v="2014"/>
  </r>
  <r>
    <x v="0"/>
    <x v="2"/>
    <x v="1"/>
    <x v="1"/>
    <n v="544"/>
    <n v="5"/>
    <n v="7"/>
    <n v="3808"/>
    <n v="114.24"/>
    <n v="3693.76"/>
    <n v="2720"/>
    <n v="973.76"/>
    <d v="2014-09-01T00:00:00"/>
    <n v="9"/>
    <s v="September"/>
    <n v="2014"/>
  </r>
  <r>
    <x v="0"/>
    <x v="4"/>
    <x v="2"/>
    <x v="1"/>
    <n v="1760"/>
    <n v="10"/>
    <n v="7"/>
    <n v="12320"/>
    <n v="369.6"/>
    <n v="11950.4"/>
    <n v="8800"/>
    <n v="3150.4"/>
    <d v="2013-09-01T00:00:00"/>
    <n v="9"/>
    <s v="September"/>
    <n v="2013"/>
  </r>
  <r>
    <x v="0"/>
    <x v="0"/>
    <x v="0"/>
    <x v="1"/>
    <n v="2851"/>
    <n v="3"/>
    <n v="7"/>
    <n v="19957"/>
    <n v="798.28"/>
    <n v="19158.72"/>
    <n v="14255"/>
    <n v="4903.72"/>
    <d v="2013-10-01T00:00:00"/>
    <n v="10"/>
    <s v="October"/>
    <n v="2013"/>
  </r>
  <r>
    <x v="0"/>
    <x v="0"/>
    <x v="1"/>
    <x v="1"/>
    <n v="2851"/>
    <n v="5"/>
    <n v="7"/>
    <n v="19957"/>
    <n v="798.28"/>
    <n v="19158.72"/>
    <n v="14255"/>
    <n v="4903.72"/>
    <d v="2013-10-01T00:00:00"/>
    <n v="10"/>
    <s v="October"/>
    <n v="2013"/>
  </r>
  <r>
    <x v="0"/>
    <x v="1"/>
    <x v="1"/>
    <x v="2"/>
    <n v="1159"/>
    <n v="5"/>
    <n v="7"/>
    <n v="8113"/>
    <n v="405.65"/>
    <n v="7707.35"/>
    <n v="5795"/>
    <n v="1912.35"/>
    <d v="2013-10-01T00:00:00"/>
    <n v="10"/>
    <s v="October"/>
    <n v="2013"/>
  </r>
  <r>
    <x v="0"/>
    <x v="1"/>
    <x v="2"/>
    <x v="2"/>
    <n v="1372"/>
    <n v="10"/>
    <n v="7"/>
    <n v="9604"/>
    <n v="480.2"/>
    <n v="9123.7999999999993"/>
    <n v="6860"/>
    <n v="2263.8000000000002"/>
    <d v="2014-01-01T00:00:00"/>
    <n v="1"/>
    <s v="January"/>
    <n v="2014"/>
  </r>
  <r>
    <x v="0"/>
    <x v="0"/>
    <x v="2"/>
    <x v="2"/>
    <n v="2349"/>
    <n v="10"/>
    <n v="7"/>
    <n v="16443"/>
    <n v="822.15"/>
    <n v="15620.85"/>
    <n v="11745"/>
    <n v="3875.85"/>
    <d v="2013-09-01T00:00:00"/>
    <n v="9"/>
    <s v="September"/>
    <n v="2013"/>
  </r>
  <r>
    <x v="0"/>
    <x v="4"/>
    <x v="2"/>
    <x v="2"/>
    <n v="2689"/>
    <n v="10"/>
    <n v="7"/>
    <n v="18823"/>
    <n v="941.15"/>
    <n v="17881.849999999999"/>
    <n v="13445"/>
    <n v="4436.8500000000004"/>
    <d v="2014-10-01T00:00:00"/>
    <n v="10"/>
    <s v="October"/>
    <n v="2014"/>
  </r>
  <r>
    <x v="0"/>
    <x v="4"/>
    <x v="3"/>
    <x v="2"/>
    <n v="2689"/>
    <n v="250"/>
    <n v="7"/>
    <n v="18823"/>
    <n v="941.15"/>
    <n v="17881.849999999999"/>
    <n v="13445"/>
    <n v="4436.8500000000004"/>
    <d v="2014-10-01T00:00:00"/>
    <n v="10"/>
    <s v="October"/>
    <n v="2014"/>
  </r>
  <r>
    <x v="0"/>
    <x v="4"/>
    <x v="4"/>
    <x v="2"/>
    <n v="1683"/>
    <n v="260"/>
    <n v="7"/>
    <n v="11781"/>
    <n v="589.04999999999995"/>
    <n v="11191.95"/>
    <n v="8415"/>
    <n v="2776.95"/>
    <d v="2014-07-01T00:00:00"/>
    <n v="7"/>
    <s v="July"/>
    <n v="2014"/>
  </r>
  <r>
    <x v="0"/>
    <x v="1"/>
    <x v="4"/>
    <x v="2"/>
    <n v="1159"/>
    <n v="260"/>
    <n v="7"/>
    <n v="8113"/>
    <n v="405.65"/>
    <n v="7707.35"/>
    <n v="5795"/>
    <n v="1912.35"/>
    <d v="2013-10-01T00:00:00"/>
    <n v="10"/>
    <s v="October"/>
    <n v="2013"/>
  </r>
  <r>
    <x v="0"/>
    <x v="1"/>
    <x v="0"/>
    <x v="2"/>
    <n v="1016"/>
    <n v="3"/>
    <n v="7"/>
    <n v="7112"/>
    <n v="355.6"/>
    <n v="6756.4"/>
    <n v="5080"/>
    <n v="1676.4"/>
    <d v="2013-11-01T00:00:00"/>
    <n v="11"/>
    <s v="November"/>
    <n v="2013"/>
  </r>
  <r>
    <x v="0"/>
    <x v="3"/>
    <x v="0"/>
    <x v="2"/>
    <n v="570"/>
    <n v="3"/>
    <n v="7"/>
    <n v="3990"/>
    <n v="199.5"/>
    <n v="3790.5"/>
    <n v="2850"/>
    <n v="940.5"/>
    <d v="2014-12-01T00:00:00"/>
    <n v="12"/>
    <s v="December"/>
    <n v="2014"/>
  </r>
  <r>
    <x v="0"/>
    <x v="2"/>
    <x v="0"/>
    <x v="2"/>
    <n v="2487"/>
    <n v="3"/>
    <n v="7"/>
    <n v="17409"/>
    <n v="870.45"/>
    <n v="16538.55"/>
    <n v="12435"/>
    <n v="4103.55"/>
    <d v="2014-12-01T00:00:00"/>
    <n v="12"/>
    <s v="December"/>
    <n v="2014"/>
  </r>
  <r>
    <x v="0"/>
    <x v="3"/>
    <x v="2"/>
    <x v="2"/>
    <n v="2327"/>
    <n v="10"/>
    <n v="7"/>
    <n v="16289"/>
    <n v="814.45"/>
    <n v="15474.55"/>
    <n v="11635"/>
    <n v="3839.55"/>
    <d v="2014-05-01T00:00:00"/>
    <n v="5"/>
    <s v="May"/>
    <n v="2014"/>
  </r>
  <r>
    <x v="0"/>
    <x v="2"/>
    <x v="2"/>
    <x v="2"/>
    <n v="2136"/>
    <n v="10"/>
    <n v="7"/>
    <n v="14952"/>
    <n v="747.6"/>
    <n v="14204.4"/>
    <n v="10680"/>
    <n v="3524.4"/>
    <d v="2013-12-01T00:00:00"/>
    <n v="12"/>
    <s v="December"/>
    <n v="2013"/>
  </r>
  <r>
    <x v="0"/>
    <x v="3"/>
    <x v="3"/>
    <x v="2"/>
    <n v="570"/>
    <n v="250"/>
    <n v="7"/>
    <n v="3990"/>
    <n v="199.5"/>
    <n v="3790.5"/>
    <n v="2850"/>
    <n v="940.5"/>
    <d v="2014-12-01T00:00:00"/>
    <n v="12"/>
    <s v="December"/>
    <n v="2014"/>
  </r>
  <r>
    <x v="0"/>
    <x v="2"/>
    <x v="3"/>
    <x v="2"/>
    <n v="2487"/>
    <n v="250"/>
    <n v="7"/>
    <n v="17409"/>
    <n v="870.45"/>
    <n v="16538.55"/>
    <n v="12435"/>
    <n v="4103.55"/>
    <d v="2014-12-01T00:00:00"/>
    <n v="12"/>
    <s v="December"/>
    <n v="2014"/>
  </r>
  <r>
    <x v="0"/>
    <x v="3"/>
    <x v="0"/>
    <x v="2"/>
    <n v="263"/>
    <n v="3"/>
    <n v="7"/>
    <n v="1841"/>
    <n v="110.46"/>
    <n v="1730.54"/>
    <n v="1315"/>
    <n v="415.54"/>
    <d v="2013-11-01T00:00:00"/>
    <n v="11"/>
    <s v="November"/>
    <n v="2013"/>
  </r>
  <r>
    <x v="0"/>
    <x v="2"/>
    <x v="1"/>
    <x v="2"/>
    <n v="1403"/>
    <n v="5"/>
    <n v="7"/>
    <n v="9821"/>
    <n v="589.26"/>
    <n v="9231.74"/>
    <n v="7015"/>
    <n v="2216.7399999999998"/>
    <d v="2013-10-01T00:00:00"/>
    <n v="10"/>
    <s v="October"/>
    <n v="2013"/>
  </r>
  <r>
    <x v="0"/>
    <x v="4"/>
    <x v="5"/>
    <x v="2"/>
    <n v="1498"/>
    <n v="120"/>
    <n v="7"/>
    <n v="10486"/>
    <n v="629.16"/>
    <n v="9856.84"/>
    <n v="7490"/>
    <n v="2366.84"/>
    <d v="2014-06-01T00:00:00"/>
    <n v="6"/>
    <s v="June"/>
    <n v="2014"/>
  </r>
  <r>
    <x v="0"/>
    <x v="4"/>
    <x v="3"/>
    <x v="2"/>
    <n v="1498"/>
    <n v="250"/>
    <n v="7"/>
    <n v="10486"/>
    <n v="629.16"/>
    <n v="9856.84"/>
    <n v="7490"/>
    <n v="2366.84"/>
    <d v="2014-06-01T00:00:00"/>
    <n v="6"/>
    <s v="June"/>
    <n v="2014"/>
  </r>
  <r>
    <x v="0"/>
    <x v="2"/>
    <x v="4"/>
    <x v="2"/>
    <n v="1403"/>
    <n v="260"/>
    <n v="7"/>
    <n v="9821"/>
    <n v="589.26"/>
    <n v="9231.74"/>
    <n v="7015"/>
    <n v="2216.7399999999998"/>
    <d v="2013-10-01T00:00:00"/>
    <n v="10"/>
    <s v="October"/>
    <n v="2013"/>
  </r>
  <r>
    <x v="0"/>
    <x v="4"/>
    <x v="5"/>
    <x v="2"/>
    <n v="1333"/>
    <n v="120"/>
    <n v="7"/>
    <n v="9331"/>
    <n v="559.86"/>
    <n v="8771.14"/>
    <n v="6665"/>
    <n v="2106.14"/>
    <d v="2014-11-01T00:00:00"/>
    <n v="11"/>
    <s v="November"/>
    <n v="2014"/>
  </r>
  <r>
    <x v="0"/>
    <x v="2"/>
    <x v="2"/>
    <x v="2"/>
    <n v="1031"/>
    <n v="10"/>
    <n v="7"/>
    <n v="7217"/>
    <n v="505.19"/>
    <n v="6711.81"/>
    <n v="5155"/>
    <n v="1556.81"/>
    <d v="2013-09-01T00:00:00"/>
    <n v="9"/>
    <s v="September"/>
    <n v="2013"/>
  </r>
  <r>
    <x v="0"/>
    <x v="0"/>
    <x v="5"/>
    <x v="2"/>
    <n v="1135"/>
    <n v="120"/>
    <n v="7"/>
    <n v="7945"/>
    <n v="556.15"/>
    <n v="7388.85"/>
    <n v="5675"/>
    <n v="1713.85"/>
    <d v="2014-06-01T00:00:00"/>
    <n v="6"/>
    <s v="June"/>
    <n v="2014"/>
  </r>
  <r>
    <x v="0"/>
    <x v="3"/>
    <x v="5"/>
    <x v="2"/>
    <n v="547"/>
    <n v="120"/>
    <n v="7"/>
    <n v="3829"/>
    <n v="268.02999999999997"/>
    <n v="3560.97"/>
    <n v="2735"/>
    <n v="825.97"/>
    <d v="2014-11-01T00:00:00"/>
    <n v="11"/>
    <s v="November"/>
    <n v="2014"/>
  </r>
  <r>
    <x v="0"/>
    <x v="0"/>
    <x v="5"/>
    <x v="2"/>
    <n v="1582"/>
    <n v="120"/>
    <n v="7"/>
    <n v="11074"/>
    <n v="775.18"/>
    <n v="10298.82"/>
    <n v="7910"/>
    <n v="2388.8200000000002"/>
    <d v="2014-12-01T00:00:00"/>
    <n v="12"/>
    <s v="December"/>
    <n v="2014"/>
  </r>
  <r>
    <x v="0"/>
    <x v="0"/>
    <x v="3"/>
    <x v="2"/>
    <n v="1582"/>
    <n v="250"/>
    <n v="7"/>
    <n v="11074"/>
    <n v="775.18"/>
    <n v="10298.82"/>
    <n v="7910"/>
    <n v="2388.8200000000002"/>
    <d v="2014-12-01T00:00:00"/>
    <n v="12"/>
    <s v="December"/>
    <n v="2014"/>
  </r>
  <r>
    <x v="0"/>
    <x v="0"/>
    <x v="4"/>
    <x v="2"/>
    <n v="1135"/>
    <n v="260"/>
    <n v="7"/>
    <n v="7945"/>
    <n v="556.15"/>
    <n v="7388.85"/>
    <n v="5675"/>
    <n v="1713.85"/>
    <d v="2014-06-01T00:00:00"/>
    <n v="6"/>
    <s v="June"/>
    <n v="2014"/>
  </r>
  <r>
    <x v="0"/>
    <x v="1"/>
    <x v="2"/>
    <x v="2"/>
    <n v="2125"/>
    <n v="10"/>
    <n v="7"/>
    <n v="14875"/>
    <n v="1041.25"/>
    <n v="13833.75"/>
    <n v="10625"/>
    <n v="3208.75"/>
    <d v="2013-12-01T00:00:00"/>
    <n v="12"/>
    <s v="December"/>
    <n v="2013"/>
  </r>
  <r>
    <x v="0"/>
    <x v="0"/>
    <x v="1"/>
    <x v="2"/>
    <n v="488"/>
    <n v="5"/>
    <n v="7"/>
    <n v="3416"/>
    <n v="273.27999999999997"/>
    <n v="3142.72"/>
    <n v="2440"/>
    <n v="702.72"/>
    <d v="2014-02-01T00:00:00"/>
    <n v="2"/>
    <s v="February"/>
    <n v="2014"/>
  </r>
  <r>
    <x v="0"/>
    <x v="0"/>
    <x v="2"/>
    <x v="2"/>
    <n v="257"/>
    <n v="10"/>
    <n v="7"/>
    <n v="1799"/>
    <n v="143.91999999999999"/>
    <n v="1655.08"/>
    <n v="1285"/>
    <n v="370.08"/>
    <d v="2014-05-01T00:00:00"/>
    <n v="5"/>
    <s v="May"/>
    <n v="2014"/>
  </r>
  <r>
    <x v="0"/>
    <x v="1"/>
    <x v="2"/>
    <x v="2"/>
    <n v="1259"/>
    <n v="10"/>
    <n v="7"/>
    <n v="8813"/>
    <n v="705.04"/>
    <n v="8107.96"/>
    <n v="6295"/>
    <n v="1812.96"/>
    <d v="2014-04-01T00:00:00"/>
    <n v="4"/>
    <s v="April"/>
    <n v="2014"/>
  </r>
  <r>
    <x v="0"/>
    <x v="1"/>
    <x v="2"/>
    <x v="2"/>
    <n v="1095"/>
    <n v="10"/>
    <n v="7"/>
    <n v="7665"/>
    <n v="613.20000000000005"/>
    <n v="7051.8"/>
    <n v="5475"/>
    <n v="1576.8"/>
    <d v="2014-05-01T00:00:00"/>
    <n v="5"/>
    <s v="May"/>
    <n v="2014"/>
  </r>
  <r>
    <x v="0"/>
    <x v="3"/>
    <x v="2"/>
    <x v="2"/>
    <n v="678"/>
    <n v="10"/>
    <n v="7"/>
    <n v="4746"/>
    <n v="379.68"/>
    <n v="4366.32"/>
    <n v="3390"/>
    <n v="976.32"/>
    <d v="2014-08-01T00:00:00"/>
    <n v="8"/>
    <s v="August"/>
    <n v="2014"/>
  </r>
  <r>
    <x v="0"/>
    <x v="1"/>
    <x v="2"/>
    <x v="2"/>
    <n v="1598"/>
    <n v="10"/>
    <n v="7"/>
    <n v="11186"/>
    <n v="894.88"/>
    <n v="10291.120000000001"/>
    <n v="7990"/>
    <n v="2301.12"/>
    <d v="2014-08-01T00:00:00"/>
    <n v="8"/>
    <s v="August"/>
    <n v="2014"/>
  </r>
  <r>
    <x v="0"/>
    <x v="1"/>
    <x v="2"/>
    <x v="2"/>
    <n v="2409"/>
    <n v="10"/>
    <n v="7"/>
    <n v="16863"/>
    <n v="1349.04"/>
    <n v="15513.96"/>
    <n v="12045"/>
    <n v="3468.96"/>
    <d v="2013-09-01T00:00:00"/>
    <n v="9"/>
    <s v="September"/>
    <n v="2013"/>
  </r>
  <r>
    <x v="0"/>
    <x v="4"/>
    <x v="2"/>
    <x v="2"/>
    <n v="1946"/>
    <n v="10"/>
    <n v="7"/>
    <n v="13622"/>
    <n v="1089.76"/>
    <n v="12532.24"/>
    <n v="9730"/>
    <n v="2802.24"/>
    <d v="2013-12-01T00:00:00"/>
    <n v="12"/>
    <s v="December"/>
    <n v="2013"/>
  </r>
  <r>
    <x v="0"/>
    <x v="3"/>
    <x v="5"/>
    <x v="2"/>
    <n v="2907"/>
    <n v="120"/>
    <n v="7"/>
    <n v="20349"/>
    <n v="1627.92"/>
    <n v="18721.080000000002"/>
    <n v="14535"/>
    <n v="4186.08"/>
    <d v="2014-06-01T00:00:00"/>
    <n v="6"/>
    <s v="June"/>
    <n v="2014"/>
  </r>
  <r>
    <x v="0"/>
    <x v="1"/>
    <x v="5"/>
    <x v="2"/>
    <n v="2338"/>
    <n v="120"/>
    <n v="7"/>
    <n v="16366"/>
    <n v="1309.28"/>
    <n v="15056.72"/>
    <n v="11690"/>
    <n v="3366.72"/>
    <d v="2014-06-01T00:00:00"/>
    <n v="6"/>
    <s v="June"/>
    <n v="2014"/>
  </r>
  <r>
    <x v="0"/>
    <x v="1"/>
    <x v="3"/>
    <x v="2"/>
    <n v="2338"/>
    <n v="250"/>
    <n v="7"/>
    <n v="16366"/>
    <n v="1309.28"/>
    <n v="15056.72"/>
    <n v="11690"/>
    <n v="3366.72"/>
    <d v="2014-06-01T00:00:00"/>
    <n v="6"/>
    <s v="June"/>
    <n v="2014"/>
  </r>
  <r>
    <x v="0"/>
    <x v="3"/>
    <x v="4"/>
    <x v="2"/>
    <n v="2907"/>
    <n v="260"/>
    <n v="7"/>
    <n v="20349"/>
    <n v="1627.92"/>
    <n v="18721.080000000002"/>
    <n v="14535"/>
    <n v="4186.08"/>
    <d v="2014-06-01T00:00:00"/>
    <n v="6"/>
    <s v="June"/>
    <n v="2014"/>
  </r>
  <r>
    <x v="0"/>
    <x v="0"/>
    <x v="1"/>
    <x v="2"/>
    <n v="1611"/>
    <n v="5"/>
    <n v="7"/>
    <n v="11277"/>
    <n v="1014.93"/>
    <n v="10262.07"/>
    <n v="8055"/>
    <n v="2207.0700000000002"/>
    <d v="2013-12-01T00:00:00"/>
    <n v="12"/>
    <s v="December"/>
    <n v="2013"/>
  </r>
  <r>
    <x v="0"/>
    <x v="0"/>
    <x v="0"/>
    <x v="2"/>
    <n v="819"/>
    <n v="3"/>
    <n v="7"/>
    <n v="5733"/>
    <n v="515.97"/>
    <n v="5217.03"/>
    <n v="4095"/>
    <n v="1122.03"/>
    <d v="2014-07-01T00:00:00"/>
    <n v="7"/>
    <s v="July"/>
    <n v="2014"/>
  </r>
  <r>
    <x v="0"/>
    <x v="4"/>
    <x v="0"/>
    <x v="2"/>
    <n v="521"/>
    <n v="3"/>
    <n v="7"/>
    <n v="3647"/>
    <n v="328.23"/>
    <n v="3318.77"/>
    <n v="2605"/>
    <n v="713.77"/>
    <d v="2014-12-01T00:00:00"/>
    <n v="12"/>
    <s v="December"/>
    <n v="2014"/>
  </r>
  <r>
    <x v="0"/>
    <x v="1"/>
    <x v="2"/>
    <x v="2"/>
    <n v="360"/>
    <n v="10"/>
    <n v="7"/>
    <n v="2520"/>
    <n v="226.8"/>
    <n v="2293.1999999999998"/>
    <n v="1800"/>
    <n v="493.2"/>
    <d v="2014-10-01T00:00:00"/>
    <n v="10"/>
    <s v="October"/>
    <n v="2014"/>
  </r>
  <r>
    <x v="0"/>
    <x v="1"/>
    <x v="3"/>
    <x v="2"/>
    <n v="360"/>
    <n v="250"/>
    <n v="7"/>
    <n v="2520"/>
    <n v="226.8"/>
    <n v="2293.1999999999998"/>
    <n v="1800"/>
    <n v="493.2"/>
    <d v="2014-10-01T00:00:00"/>
    <n v="10"/>
    <s v="October"/>
    <n v="2014"/>
  </r>
  <r>
    <x v="0"/>
    <x v="4"/>
    <x v="3"/>
    <x v="2"/>
    <n v="521"/>
    <n v="250"/>
    <n v="7"/>
    <n v="3647"/>
    <n v="328.23"/>
    <n v="3318.77"/>
    <n v="2605"/>
    <n v="713.77"/>
    <d v="2014-12-01T00:00:00"/>
    <n v="12"/>
    <s v="December"/>
    <n v="2014"/>
  </r>
  <r>
    <x v="0"/>
    <x v="3"/>
    <x v="1"/>
    <x v="0"/>
    <n v="2328"/>
    <n v="5"/>
    <n v="7"/>
    <n v="16296"/>
    <n v="1629.6"/>
    <n v="14666.4"/>
    <n v="11640"/>
    <n v="3026.4"/>
    <d v="2014-09-01T00:00:00"/>
    <n v="9"/>
    <s v="September"/>
    <n v="2014"/>
  </r>
  <r>
    <x v="0"/>
    <x v="1"/>
    <x v="5"/>
    <x v="0"/>
    <n v="2665"/>
    <n v="120"/>
    <n v="7"/>
    <n v="18655"/>
    <n v="1865.5"/>
    <n v="16789.5"/>
    <n v="13325"/>
    <n v="3464.5"/>
    <d v="2014-11-01T00:00:00"/>
    <n v="11"/>
    <s v="November"/>
    <n v="2014"/>
  </r>
  <r>
    <x v="0"/>
    <x v="2"/>
    <x v="2"/>
    <x v="0"/>
    <n v="2532"/>
    <n v="10"/>
    <n v="7"/>
    <n v="17724"/>
    <n v="1949.64"/>
    <n v="15774.36"/>
    <n v="12660"/>
    <n v="3114.36"/>
    <d v="2014-04-01T00:00:00"/>
    <n v="4"/>
    <s v="April"/>
    <n v="2014"/>
  </r>
  <r>
    <x v="0"/>
    <x v="3"/>
    <x v="3"/>
    <x v="0"/>
    <n v="1579"/>
    <n v="250"/>
    <n v="7"/>
    <n v="11053"/>
    <n v="1215.83"/>
    <n v="9837.17"/>
    <n v="7895"/>
    <n v="1942.17"/>
    <d v="2014-03-01T00:00:00"/>
    <n v="3"/>
    <s v="March"/>
    <n v="2014"/>
  </r>
  <r>
    <x v="0"/>
    <x v="4"/>
    <x v="0"/>
    <x v="0"/>
    <n v="2706"/>
    <n v="3"/>
    <n v="7"/>
    <n v="18942"/>
    <n v="2083.62"/>
    <n v="16858.38"/>
    <n v="13530"/>
    <n v="3328.38"/>
    <d v="2013-11-01T00:00:00"/>
    <n v="11"/>
    <s v="November"/>
    <n v="2013"/>
  </r>
  <r>
    <x v="0"/>
    <x v="0"/>
    <x v="5"/>
    <x v="0"/>
    <n v="1808"/>
    <n v="120"/>
    <n v="7"/>
    <n v="12656"/>
    <n v="1392.16"/>
    <n v="11263.84"/>
    <n v="9040"/>
    <n v="2223.84"/>
    <d v="2014-11-01T00:00:00"/>
    <n v="11"/>
    <s v="November"/>
    <n v="2014"/>
  </r>
  <r>
    <x v="0"/>
    <x v="3"/>
    <x v="2"/>
    <x v="0"/>
    <n v="380"/>
    <n v="10"/>
    <n v="7"/>
    <n v="2660"/>
    <n v="292.60000000000002"/>
    <n v="2367.4"/>
    <n v="1900"/>
    <n v="467.4"/>
    <d v="2013-09-01T00:00:00"/>
    <n v="9"/>
    <s v="September"/>
    <n v="2013"/>
  </r>
  <r>
    <x v="0"/>
    <x v="4"/>
    <x v="1"/>
    <x v="0"/>
    <n v="2420"/>
    <n v="5"/>
    <n v="7"/>
    <n v="16940"/>
    <n v="2032.8"/>
    <n v="14907.2"/>
    <n v="12100"/>
    <n v="2807.2"/>
    <d v="2014-09-01T00:00:00"/>
    <n v="9"/>
    <s v="September"/>
    <n v="2014"/>
  </r>
  <r>
    <x v="0"/>
    <x v="0"/>
    <x v="1"/>
    <x v="0"/>
    <n v="2734"/>
    <n v="5"/>
    <n v="7"/>
    <n v="19138"/>
    <n v="2296.56"/>
    <n v="16841.439999999999"/>
    <n v="13670"/>
    <n v="3171.44"/>
    <d v="2014-10-01T00:00:00"/>
    <n v="10"/>
    <s v="October"/>
    <n v="2014"/>
  </r>
  <r>
    <x v="0"/>
    <x v="2"/>
    <x v="4"/>
    <x v="0"/>
    <n v="3421.5"/>
    <n v="260"/>
    <n v="7"/>
    <n v="23950.5"/>
    <n v="2874.06"/>
    <n v="21076.44"/>
    <n v="17107.5"/>
    <n v="3968.94"/>
    <d v="2014-07-01T00:00:00"/>
    <n v="7"/>
    <s v="July"/>
    <n v="2014"/>
  </r>
  <r>
    <x v="0"/>
    <x v="0"/>
    <x v="4"/>
    <x v="0"/>
    <n v="2734"/>
    <n v="260"/>
    <n v="7"/>
    <n v="19138"/>
    <n v="2296.56"/>
    <n v="16841.439999999999"/>
    <n v="13670"/>
    <n v="3171.44"/>
    <d v="2014-10-01T00:00:00"/>
    <n v="10"/>
    <s v="October"/>
    <n v="2014"/>
  </r>
  <r>
    <x v="0"/>
    <x v="2"/>
    <x v="3"/>
    <x v="0"/>
    <n v="1491"/>
    <n v="250"/>
    <n v="7"/>
    <n v="10437"/>
    <n v="1252.44"/>
    <n v="9184.56"/>
    <n v="7455"/>
    <n v="1729.56"/>
    <d v="2014-03-01T00:00:00"/>
    <n v="3"/>
    <s v="March"/>
    <n v="2014"/>
  </r>
  <r>
    <x v="0"/>
    <x v="3"/>
    <x v="1"/>
    <x v="0"/>
    <n v="1298"/>
    <n v="5"/>
    <n v="7"/>
    <n v="9086"/>
    <n v="1181.18"/>
    <n v="7904.82"/>
    <n v="6490"/>
    <n v="1414.82"/>
    <d v="2014-02-01T00:00:00"/>
    <n v="2"/>
    <s v="February"/>
    <n v="2014"/>
  </r>
  <r>
    <x v="0"/>
    <x v="3"/>
    <x v="2"/>
    <x v="0"/>
    <n v="1438.5"/>
    <n v="10"/>
    <n v="7"/>
    <n v="10069.5"/>
    <n v="1309.0350000000001"/>
    <n v="8760.4650000000001"/>
    <n v="7192.5"/>
    <n v="1567.9649999999999"/>
    <d v="2014-01-01T00:00:00"/>
    <n v="1"/>
    <s v="January"/>
    <n v="2014"/>
  </r>
  <r>
    <x v="0"/>
    <x v="2"/>
    <x v="2"/>
    <x v="0"/>
    <n v="2696"/>
    <n v="10"/>
    <n v="7"/>
    <n v="18872"/>
    <n v="2453.36"/>
    <n v="16418.64"/>
    <n v="13480"/>
    <n v="2938.64"/>
    <d v="2014-08-01T00:00:00"/>
    <n v="8"/>
    <s v="August"/>
    <n v="2014"/>
  </r>
  <r>
    <x v="0"/>
    <x v="2"/>
    <x v="5"/>
    <x v="0"/>
    <n v="1190"/>
    <n v="120"/>
    <n v="7"/>
    <n v="8330"/>
    <n v="1082.9000000000001"/>
    <n v="7247.1"/>
    <n v="5950"/>
    <n v="1297.0999999999999"/>
    <d v="2014-06-01T00:00:00"/>
    <n v="6"/>
    <s v="June"/>
    <n v="2014"/>
  </r>
  <r>
    <x v="0"/>
    <x v="2"/>
    <x v="4"/>
    <x v="0"/>
    <n v="1190"/>
    <n v="260"/>
    <n v="7"/>
    <n v="8330"/>
    <n v="1082.9000000000001"/>
    <n v="7247.1"/>
    <n v="5950"/>
    <n v="1297.0999999999999"/>
    <d v="2014-06-01T00:00:00"/>
    <n v="6"/>
    <s v="June"/>
    <n v="2014"/>
  </r>
  <r>
    <x v="0"/>
    <x v="3"/>
    <x v="0"/>
    <x v="0"/>
    <n v="2996"/>
    <n v="3"/>
    <n v="7"/>
    <n v="20972"/>
    <n v="2936.08"/>
    <n v="18035.919999999998"/>
    <n v="14980"/>
    <n v="3055.92"/>
    <d v="2013-10-01T00:00:00"/>
    <n v="10"/>
    <s v="October"/>
    <n v="2013"/>
  </r>
  <r>
    <x v="0"/>
    <x v="1"/>
    <x v="0"/>
    <x v="0"/>
    <n v="280"/>
    <n v="3"/>
    <n v="7"/>
    <n v="1960"/>
    <n v="274.39999999999998"/>
    <n v="1685.6"/>
    <n v="1400"/>
    <n v="285.60000000000002"/>
    <d v="2014-12-01T00:00:00"/>
    <n v="12"/>
    <s v="December"/>
    <n v="2014"/>
  </r>
  <r>
    <x v="0"/>
    <x v="2"/>
    <x v="1"/>
    <x v="0"/>
    <n v="293"/>
    <n v="5"/>
    <n v="7"/>
    <n v="2051"/>
    <n v="287.14"/>
    <n v="1763.86"/>
    <n v="1465"/>
    <n v="298.86"/>
    <d v="2014-02-01T00:00:00"/>
    <n v="2"/>
    <s v="February"/>
    <n v="2014"/>
  </r>
  <r>
    <x v="0"/>
    <x v="3"/>
    <x v="1"/>
    <x v="0"/>
    <n v="2996"/>
    <n v="5"/>
    <n v="7"/>
    <n v="20972"/>
    <n v="2936.08"/>
    <n v="18035.919999999998"/>
    <n v="14980"/>
    <n v="3055.92"/>
    <d v="2013-10-01T00:00:00"/>
    <n v="10"/>
    <s v="October"/>
    <n v="2013"/>
  </r>
  <r>
    <x v="0"/>
    <x v="1"/>
    <x v="3"/>
    <x v="0"/>
    <n v="280"/>
    <n v="250"/>
    <n v="7"/>
    <n v="1960"/>
    <n v="274.39999999999998"/>
    <n v="1685.6"/>
    <n v="1400"/>
    <n v="285.60000000000002"/>
    <d v="2014-12-01T00:00:00"/>
    <n v="12"/>
    <s v="December"/>
    <n v="2014"/>
  </r>
  <r>
    <x v="0"/>
    <x v="0"/>
    <x v="1"/>
    <x v="0"/>
    <n v="388"/>
    <n v="5"/>
    <n v="7"/>
    <n v="2716"/>
    <n v="380.24"/>
    <n v="2335.7600000000002"/>
    <n v="1940"/>
    <n v="395.76"/>
    <d v="2014-09-01T00:00:00"/>
    <n v="9"/>
    <s v="September"/>
    <n v="2014"/>
  </r>
  <r>
    <x v="0"/>
    <x v="4"/>
    <x v="1"/>
    <x v="0"/>
    <n v="1727"/>
    <n v="5"/>
    <n v="7"/>
    <n v="12089"/>
    <n v="1692.46"/>
    <n v="10396.540000000001"/>
    <n v="8635"/>
    <n v="1761.54"/>
    <d v="2013-10-01T00:00:00"/>
    <n v="10"/>
    <s v="October"/>
    <n v="2013"/>
  </r>
  <r>
    <x v="0"/>
    <x v="2"/>
    <x v="2"/>
    <x v="0"/>
    <n v="1731"/>
    <n v="10"/>
    <n v="7"/>
    <n v="12117"/>
    <n v="1696.38"/>
    <n v="10420.620000000001"/>
    <n v="8655"/>
    <n v="1765.62"/>
    <d v="2014-10-01T00:00:00"/>
    <n v="10"/>
    <s v="October"/>
    <n v="2014"/>
  </r>
  <r>
    <x v="0"/>
    <x v="4"/>
    <x v="3"/>
    <x v="0"/>
    <n v="2903"/>
    <n v="250"/>
    <n v="7"/>
    <n v="20321"/>
    <n v="2844.94"/>
    <n v="17476.060000000001"/>
    <n v="14515"/>
    <n v="2961.06"/>
    <d v="2014-03-01T00:00:00"/>
    <n v="3"/>
    <s v="March"/>
    <n v="2014"/>
  </r>
  <r>
    <x v="0"/>
    <x v="2"/>
    <x v="4"/>
    <x v="0"/>
    <n v="1731"/>
    <n v="260"/>
    <n v="7"/>
    <n v="12117"/>
    <n v="1696.38"/>
    <n v="10420.620000000001"/>
    <n v="8655"/>
    <n v="1765.62"/>
    <d v="2014-10-01T00:00:00"/>
    <n v="10"/>
    <s v="October"/>
    <n v="2014"/>
  </r>
  <r>
    <x v="0"/>
    <x v="4"/>
    <x v="4"/>
    <x v="0"/>
    <n v="1727"/>
    <n v="260"/>
    <n v="7"/>
    <n v="12089"/>
    <n v="1692.46"/>
    <n v="10396.540000000001"/>
    <n v="8635"/>
    <n v="1761.54"/>
    <d v="2013-10-01T00:00:00"/>
    <n v="10"/>
    <s v="October"/>
    <n v="2013"/>
  </r>
  <r>
    <x v="0"/>
    <x v="4"/>
    <x v="2"/>
    <x v="0"/>
    <n v="2535"/>
    <n v="10"/>
    <n v="7"/>
    <n v="17745"/>
    <n v="2661.75"/>
    <n v="15083.25"/>
    <n v="12675"/>
    <n v="2408.25"/>
    <d v="2014-04-01T00:00:00"/>
    <n v="4"/>
    <s v="April"/>
    <n v="2014"/>
  </r>
  <r>
    <x v="0"/>
    <x v="4"/>
    <x v="1"/>
    <x v="0"/>
    <n v="1368"/>
    <n v="5"/>
    <n v="7"/>
    <n v="9576"/>
    <n v="1436.4"/>
    <n v="8139.6"/>
    <n v="6840"/>
    <n v="1299.5999999999999"/>
    <d v="2014-02-01T00:00:00"/>
    <n v="2"/>
    <s v="February"/>
    <n v="2014"/>
  </r>
  <r>
    <x v="0"/>
    <x v="0"/>
    <x v="2"/>
    <x v="0"/>
    <n v="723"/>
    <n v="10"/>
    <n v="7"/>
    <n v="5061"/>
    <n v="759.15"/>
    <n v="4301.8500000000004"/>
    <n v="3615"/>
    <n v="686.85"/>
    <d v="2014-04-01T00:00:00"/>
    <n v="4"/>
    <s v="April"/>
    <n v="2014"/>
  </r>
  <r>
    <x v="1"/>
    <x v="2"/>
    <x v="0"/>
    <x v="0"/>
    <n v="2178"/>
    <n v="3"/>
    <n v="15"/>
    <n v="32670"/>
    <n v="0"/>
    <n v="32670"/>
    <n v="21780"/>
    <n v="10890"/>
    <d v="2014-06-01T00:00:00"/>
    <n v="6"/>
    <s v="June"/>
    <n v="2014"/>
  </r>
  <r>
    <x v="1"/>
    <x v="1"/>
    <x v="0"/>
    <x v="0"/>
    <n v="888"/>
    <n v="3"/>
    <n v="15"/>
    <n v="13320"/>
    <n v="0"/>
    <n v="13320"/>
    <n v="8880"/>
    <n v="4440"/>
    <d v="2014-06-01T00:00:00"/>
    <n v="6"/>
    <s v="June"/>
    <n v="2014"/>
  </r>
  <r>
    <x v="1"/>
    <x v="4"/>
    <x v="0"/>
    <x v="0"/>
    <n v="2470"/>
    <n v="3"/>
    <n v="15"/>
    <n v="37050"/>
    <n v="0"/>
    <n v="37050"/>
    <n v="24700"/>
    <n v="12350"/>
    <d v="2014-06-01T00:00:00"/>
    <n v="6"/>
    <s v="June"/>
    <n v="2014"/>
  </r>
  <r>
    <x v="1"/>
    <x v="1"/>
    <x v="1"/>
    <x v="0"/>
    <n v="921"/>
    <n v="5"/>
    <n v="15"/>
    <n v="13815"/>
    <n v="0"/>
    <n v="13815"/>
    <n v="9210"/>
    <n v="4605"/>
    <d v="2014-03-01T00:00:00"/>
    <n v="3"/>
    <s v="March"/>
    <n v="2014"/>
  </r>
  <r>
    <x v="2"/>
    <x v="0"/>
    <x v="1"/>
    <x v="0"/>
    <n v="2518"/>
    <n v="5"/>
    <n v="12"/>
    <n v="30216"/>
    <n v="0"/>
    <n v="30216"/>
    <n v="7554"/>
    <n v="22662"/>
    <d v="2014-06-01T00:00:00"/>
    <n v="6"/>
    <s v="June"/>
    <n v="2014"/>
  </r>
  <r>
    <x v="2"/>
    <x v="1"/>
    <x v="1"/>
    <x v="0"/>
    <n v="1545"/>
    <n v="5"/>
    <n v="12"/>
    <n v="18540"/>
    <n v="0"/>
    <n v="18540"/>
    <n v="4635"/>
    <n v="13905"/>
    <d v="2014-06-01T00:00:00"/>
    <n v="6"/>
    <s v="June"/>
    <n v="2014"/>
  </r>
  <r>
    <x v="1"/>
    <x v="4"/>
    <x v="1"/>
    <x v="0"/>
    <n v="2470"/>
    <n v="5"/>
    <n v="15"/>
    <n v="37050"/>
    <n v="0"/>
    <n v="37050"/>
    <n v="24700"/>
    <n v="12350"/>
    <d v="2014-06-01T00:00:00"/>
    <n v="6"/>
    <s v="June"/>
    <n v="2014"/>
  </r>
  <r>
    <x v="3"/>
    <x v="0"/>
    <x v="1"/>
    <x v="0"/>
    <n v="345"/>
    <n v="5"/>
    <n v="125"/>
    <n v="43125"/>
    <n v="0"/>
    <n v="43125"/>
    <n v="41400"/>
    <n v="1725"/>
    <d v="2013-10-01T00:00:00"/>
    <n v="10"/>
    <s v="October"/>
    <n v="2013"/>
  </r>
  <r>
    <x v="1"/>
    <x v="3"/>
    <x v="1"/>
    <x v="0"/>
    <n v="615"/>
    <n v="5"/>
    <n v="15"/>
    <n v="9225"/>
    <n v="0"/>
    <n v="9225"/>
    <n v="6150"/>
    <n v="3075"/>
    <d v="2014-12-01T00:00:00"/>
    <n v="12"/>
    <s v="December"/>
    <n v="2014"/>
  </r>
  <r>
    <x v="2"/>
    <x v="1"/>
    <x v="5"/>
    <x v="0"/>
    <n v="2161"/>
    <n v="120"/>
    <n v="12"/>
    <n v="25932"/>
    <n v="0"/>
    <n v="25932"/>
    <n v="6483"/>
    <n v="19449"/>
    <d v="2014-03-01T00:00:00"/>
    <n v="3"/>
    <s v="March"/>
    <n v="2014"/>
  </r>
  <r>
    <x v="2"/>
    <x v="1"/>
    <x v="5"/>
    <x v="0"/>
    <n v="1545"/>
    <n v="120"/>
    <n v="12"/>
    <n v="18540"/>
    <n v="0"/>
    <n v="18540"/>
    <n v="4635"/>
    <n v="13905"/>
    <d v="2014-06-01T00:00:00"/>
    <n v="6"/>
    <s v="June"/>
    <n v="2014"/>
  </r>
  <r>
    <x v="3"/>
    <x v="0"/>
    <x v="5"/>
    <x v="0"/>
    <n v="345"/>
    <n v="120"/>
    <n v="125"/>
    <n v="43125"/>
    <n v="0"/>
    <n v="43125"/>
    <n v="41400"/>
    <n v="1725"/>
    <d v="2013-10-01T00:00:00"/>
    <n v="10"/>
    <s v="October"/>
    <n v="2013"/>
  </r>
  <r>
    <x v="2"/>
    <x v="1"/>
    <x v="3"/>
    <x v="0"/>
    <n v="2838"/>
    <n v="250"/>
    <n v="12"/>
    <n v="34056"/>
    <n v="0"/>
    <n v="34056"/>
    <n v="8514"/>
    <n v="25542"/>
    <d v="2014-04-01T00:00:00"/>
    <n v="4"/>
    <s v="April"/>
    <n v="2014"/>
  </r>
  <r>
    <x v="1"/>
    <x v="2"/>
    <x v="3"/>
    <x v="0"/>
    <n v="2178"/>
    <n v="250"/>
    <n v="15"/>
    <n v="32670"/>
    <n v="0"/>
    <n v="32670"/>
    <n v="21780"/>
    <n v="10890"/>
    <d v="2014-06-01T00:00:00"/>
    <n v="6"/>
    <s v="June"/>
    <n v="2014"/>
  </r>
  <r>
    <x v="1"/>
    <x v="1"/>
    <x v="3"/>
    <x v="0"/>
    <n v="888"/>
    <n v="250"/>
    <n v="15"/>
    <n v="13320"/>
    <n v="0"/>
    <n v="13320"/>
    <n v="8880"/>
    <n v="4440"/>
    <d v="2014-06-01T00:00:00"/>
    <n v="6"/>
    <s v="June"/>
    <n v="2014"/>
  </r>
  <r>
    <x v="2"/>
    <x v="3"/>
    <x v="4"/>
    <x v="0"/>
    <n v="1953"/>
    <n v="260"/>
    <n v="12"/>
    <n v="23436"/>
    <n v="0"/>
    <n v="23436"/>
    <n v="5859"/>
    <n v="17577"/>
    <d v="2014-04-01T00:00:00"/>
    <n v="4"/>
    <s v="April"/>
    <n v="2014"/>
  </r>
  <r>
    <x v="2"/>
    <x v="3"/>
    <x v="4"/>
    <x v="0"/>
    <n v="2141"/>
    <n v="260"/>
    <n v="12"/>
    <n v="25692"/>
    <n v="0"/>
    <n v="25692"/>
    <n v="6423"/>
    <n v="19269"/>
    <d v="2014-08-01T00:00:00"/>
    <n v="8"/>
    <s v="August"/>
    <n v="2014"/>
  </r>
  <r>
    <x v="1"/>
    <x v="3"/>
    <x v="4"/>
    <x v="0"/>
    <n v="615"/>
    <n v="260"/>
    <n v="15"/>
    <n v="9225"/>
    <n v="0"/>
    <n v="9225"/>
    <n v="6150"/>
    <n v="3075"/>
    <d v="2014-12-01T00:00:00"/>
    <n v="12"/>
    <s v="December"/>
    <n v="2014"/>
  </r>
  <r>
    <x v="2"/>
    <x v="3"/>
    <x v="0"/>
    <x v="1"/>
    <n v="1858"/>
    <n v="3"/>
    <n v="12"/>
    <n v="22296"/>
    <n v="222.96"/>
    <n v="22073.040000000001"/>
    <n v="5574"/>
    <n v="16499.04"/>
    <d v="2014-02-01T00:00:00"/>
    <n v="2"/>
    <s v="February"/>
    <n v="2014"/>
  </r>
  <r>
    <x v="2"/>
    <x v="0"/>
    <x v="0"/>
    <x v="1"/>
    <n v="1445"/>
    <n v="3"/>
    <n v="12"/>
    <n v="17340"/>
    <n v="173.4"/>
    <n v="17166.599999999999"/>
    <n v="4335"/>
    <n v="12831.6"/>
    <d v="2014-09-01T00:00:00"/>
    <n v="9"/>
    <s v="September"/>
    <n v="2014"/>
  </r>
  <r>
    <x v="3"/>
    <x v="3"/>
    <x v="0"/>
    <x v="1"/>
    <n v="330"/>
    <n v="3"/>
    <n v="125"/>
    <n v="41250"/>
    <n v="412.5"/>
    <n v="40837.5"/>
    <n v="39600"/>
    <n v="1237.5"/>
    <d v="2013-09-01T00:00:00"/>
    <n v="9"/>
    <s v="September"/>
    <n v="2013"/>
  </r>
  <r>
    <x v="2"/>
    <x v="2"/>
    <x v="0"/>
    <x v="1"/>
    <n v="2671"/>
    <n v="3"/>
    <n v="12"/>
    <n v="32052"/>
    <n v="320.52"/>
    <n v="31731.48"/>
    <n v="8013"/>
    <n v="23718.48"/>
    <d v="2014-09-01T00:00:00"/>
    <n v="9"/>
    <s v="September"/>
    <n v="2014"/>
  </r>
  <r>
    <x v="2"/>
    <x v="1"/>
    <x v="0"/>
    <x v="1"/>
    <n v="766"/>
    <n v="3"/>
    <n v="12"/>
    <n v="9192"/>
    <n v="91.92"/>
    <n v="9100.08"/>
    <n v="2298"/>
    <n v="6802.08"/>
    <d v="2013-10-01T00:00:00"/>
    <n v="10"/>
    <s v="October"/>
    <n v="2013"/>
  </r>
  <r>
    <x v="1"/>
    <x v="4"/>
    <x v="1"/>
    <x v="1"/>
    <n v="2214"/>
    <n v="5"/>
    <n v="15"/>
    <n v="33210"/>
    <n v="332.1"/>
    <n v="32877.9"/>
    <n v="22140"/>
    <n v="10737.9"/>
    <d v="2014-03-01T00:00:00"/>
    <n v="3"/>
    <s v="March"/>
    <n v="2014"/>
  </r>
  <r>
    <x v="2"/>
    <x v="3"/>
    <x v="4"/>
    <x v="1"/>
    <n v="1989"/>
    <n v="260"/>
    <n v="12"/>
    <n v="23868"/>
    <n v="238.68"/>
    <n v="23629.32"/>
    <n v="5967"/>
    <n v="17662.32"/>
    <d v="2013-09-01T00:00:00"/>
    <n v="9"/>
    <s v="September"/>
    <n v="2013"/>
  </r>
  <r>
    <x v="1"/>
    <x v="2"/>
    <x v="4"/>
    <x v="1"/>
    <n v="321"/>
    <n v="260"/>
    <n v="15"/>
    <n v="4815"/>
    <n v="48.15"/>
    <n v="4766.8500000000004"/>
    <n v="3210"/>
    <n v="1556.85"/>
    <d v="2013-11-01T00:00:00"/>
    <n v="11"/>
    <s v="November"/>
    <n v="2013"/>
  </r>
  <r>
    <x v="2"/>
    <x v="0"/>
    <x v="0"/>
    <x v="1"/>
    <n v="1295"/>
    <n v="3"/>
    <n v="12"/>
    <n v="15540"/>
    <n v="310.8"/>
    <n v="15229.2"/>
    <n v="3885"/>
    <n v="11344.2"/>
    <d v="2014-10-01T00:00:00"/>
    <n v="10"/>
    <s v="October"/>
    <n v="2014"/>
  </r>
  <r>
    <x v="2"/>
    <x v="3"/>
    <x v="1"/>
    <x v="1"/>
    <n v="1142"/>
    <n v="5"/>
    <n v="12"/>
    <n v="13704"/>
    <n v="274.08"/>
    <n v="13429.92"/>
    <n v="3426"/>
    <n v="10003.92"/>
    <d v="2014-06-01T00:00:00"/>
    <n v="6"/>
    <s v="June"/>
    <n v="2014"/>
  </r>
  <r>
    <x v="2"/>
    <x v="4"/>
    <x v="1"/>
    <x v="1"/>
    <n v="690"/>
    <n v="5"/>
    <n v="12"/>
    <n v="8280"/>
    <n v="165.6"/>
    <n v="8114.4"/>
    <n v="2070"/>
    <n v="6044.4"/>
    <d v="2014-11-01T00:00:00"/>
    <n v="11"/>
    <s v="November"/>
    <n v="2014"/>
  </r>
  <r>
    <x v="2"/>
    <x v="2"/>
    <x v="5"/>
    <x v="1"/>
    <n v="1055"/>
    <n v="120"/>
    <n v="12"/>
    <n v="12660"/>
    <n v="253.2"/>
    <n v="12406.8"/>
    <n v="3165"/>
    <n v="9241.7999999999993"/>
    <d v="2014-12-01T00:00:00"/>
    <n v="12"/>
    <s v="December"/>
    <n v="2014"/>
  </r>
  <r>
    <x v="2"/>
    <x v="4"/>
    <x v="5"/>
    <x v="1"/>
    <n v="1084"/>
    <n v="120"/>
    <n v="12"/>
    <n v="13008"/>
    <n v="260.16000000000003"/>
    <n v="12747.84"/>
    <n v="3252"/>
    <n v="9495.84"/>
    <d v="2014-12-01T00:00:00"/>
    <n v="12"/>
    <s v="December"/>
    <n v="2014"/>
  </r>
  <r>
    <x v="2"/>
    <x v="3"/>
    <x v="0"/>
    <x v="1"/>
    <n v="1947"/>
    <n v="3"/>
    <n v="12"/>
    <n v="23364"/>
    <n v="700.92"/>
    <n v="22663.08"/>
    <n v="5841"/>
    <n v="16822.080000000002"/>
    <d v="2014-09-01T00:00:00"/>
    <n v="9"/>
    <s v="September"/>
    <n v="2014"/>
  </r>
  <r>
    <x v="2"/>
    <x v="0"/>
    <x v="0"/>
    <x v="1"/>
    <n v="908"/>
    <n v="3"/>
    <n v="12"/>
    <n v="10896"/>
    <n v="326.88"/>
    <n v="10569.12"/>
    <n v="2724"/>
    <n v="7845.12"/>
    <d v="2013-12-01T00:00:00"/>
    <n v="12"/>
    <s v="December"/>
    <n v="2013"/>
  </r>
  <r>
    <x v="2"/>
    <x v="2"/>
    <x v="1"/>
    <x v="1"/>
    <n v="1901"/>
    <n v="5"/>
    <n v="12"/>
    <n v="22812"/>
    <n v="684.36"/>
    <n v="22127.64"/>
    <n v="5703"/>
    <n v="16424.64"/>
    <d v="2014-06-01T00:00:00"/>
    <n v="6"/>
    <s v="June"/>
    <n v="2014"/>
  </r>
  <r>
    <x v="2"/>
    <x v="4"/>
    <x v="3"/>
    <x v="1"/>
    <n v="1916"/>
    <n v="250"/>
    <n v="12"/>
    <n v="22992"/>
    <n v="689.76"/>
    <n v="22302.240000000002"/>
    <n v="5748"/>
    <n v="16554.240000000002"/>
    <d v="2014-04-01T00:00:00"/>
    <n v="4"/>
    <s v="April"/>
    <n v="2014"/>
  </r>
  <r>
    <x v="1"/>
    <x v="1"/>
    <x v="3"/>
    <x v="1"/>
    <n v="1945"/>
    <n v="250"/>
    <n v="15"/>
    <n v="29175"/>
    <n v="875.25"/>
    <n v="28299.75"/>
    <n v="19450"/>
    <n v="8849.75"/>
    <d v="2013-10-01T00:00:00"/>
    <n v="10"/>
    <s v="October"/>
    <n v="2013"/>
  </r>
  <r>
    <x v="2"/>
    <x v="1"/>
    <x v="3"/>
    <x v="1"/>
    <n v="2479"/>
    <n v="250"/>
    <n v="12"/>
    <n v="29748"/>
    <n v="892.44"/>
    <n v="28855.56"/>
    <n v="7437"/>
    <n v="21418.560000000001"/>
    <d v="2014-01-01T00:00:00"/>
    <n v="1"/>
    <s v="January"/>
    <n v="2014"/>
  </r>
  <r>
    <x v="1"/>
    <x v="4"/>
    <x v="1"/>
    <x v="1"/>
    <n v="2031"/>
    <n v="5"/>
    <n v="15"/>
    <n v="30465"/>
    <n v="1218.5999999999999"/>
    <n v="29246.400000000001"/>
    <n v="20310"/>
    <n v="8936.4"/>
    <d v="2014-10-01T00:00:00"/>
    <n v="10"/>
    <s v="October"/>
    <n v="2014"/>
  </r>
  <r>
    <x v="1"/>
    <x v="0"/>
    <x v="1"/>
    <x v="1"/>
    <n v="1967"/>
    <n v="5"/>
    <n v="15"/>
    <n v="29505"/>
    <n v="1180.2"/>
    <n v="28324.799999999999"/>
    <n v="19670"/>
    <n v="8654.7999999999993"/>
    <d v="2014-03-01T00:00:00"/>
    <n v="3"/>
    <s v="March"/>
    <n v="2014"/>
  </r>
  <r>
    <x v="2"/>
    <x v="3"/>
    <x v="5"/>
    <x v="1"/>
    <n v="1465"/>
    <n v="120"/>
    <n v="12"/>
    <n v="17580"/>
    <n v="703.2"/>
    <n v="16876.8"/>
    <n v="4395"/>
    <n v="12481.8"/>
    <d v="2014-03-01T00:00:00"/>
    <n v="3"/>
    <s v="March"/>
    <n v="2014"/>
  </r>
  <r>
    <x v="2"/>
    <x v="2"/>
    <x v="3"/>
    <x v="1"/>
    <n v="866"/>
    <n v="250"/>
    <n v="12"/>
    <n v="10392"/>
    <n v="415.68"/>
    <n v="9976.32"/>
    <n v="2598"/>
    <n v="7378.32"/>
    <d v="2014-05-01T00:00:00"/>
    <n v="5"/>
    <s v="May"/>
    <n v="2014"/>
  </r>
  <r>
    <x v="1"/>
    <x v="4"/>
    <x v="3"/>
    <x v="1"/>
    <n v="1514"/>
    <n v="250"/>
    <n v="15"/>
    <n v="22710"/>
    <n v="908.4"/>
    <n v="21801.599999999999"/>
    <n v="15140"/>
    <n v="6661.6"/>
    <d v="2013-10-01T00:00:00"/>
    <n v="10"/>
    <s v="October"/>
    <n v="2013"/>
  </r>
  <r>
    <x v="1"/>
    <x v="3"/>
    <x v="4"/>
    <x v="1"/>
    <n v="671"/>
    <n v="260"/>
    <n v="15"/>
    <n v="10065"/>
    <n v="402.6"/>
    <n v="9662.4"/>
    <n v="6710"/>
    <n v="2952.4"/>
    <d v="2013-10-01T00:00:00"/>
    <n v="10"/>
    <s v="October"/>
    <n v="2013"/>
  </r>
  <r>
    <x v="2"/>
    <x v="0"/>
    <x v="5"/>
    <x v="2"/>
    <n v="2431"/>
    <n v="120"/>
    <n v="12"/>
    <n v="29172"/>
    <n v="1458.6"/>
    <n v="27713.4"/>
    <n v="7293"/>
    <n v="20420.400000000001"/>
    <d v="2014-12-01T00:00:00"/>
    <n v="12"/>
    <s v="December"/>
    <n v="2014"/>
  </r>
  <r>
    <x v="2"/>
    <x v="4"/>
    <x v="4"/>
    <x v="2"/>
    <n v="1123"/>
    <n v="260"/>
    <n v="12"/>
    <n v="13476"/>
    <n v="673.8"/>
    <n v="12802.2"/>
    <n v="3369"/>
    <n v="9433.2000000000007"/>
    <d v="2014-08-01T00:00:00"/>
    <n v="8"/>
    <s v="August"/>
    <n v="2014"/>
  </r>
  <r>
    <x v="2"/>
    <x v="2"/>
    <x v="0"/>
    <x v="2"/>
    <n v="1865"/>
    <n v="3"/>
    <n v="12"/>
    <n v="22380"/>
    <n v="1119"/>
    <n v="21261"/>
    <n v="5595"/>
    <n v="15666"/>
    <d v="2014-02-01T00:00:00"/>
    <n v="2"/>
    <s v="February"/>
    <n v="2014"/>
  </r>
  <r>
    <x v="2"/>
    <x v="1"/>
    <x v="0"/>
    <x v="2"/>
    <n v="1116"/>
    <n v="3"/>
    <n v="12"/>
    <n v="13392"/>
    <n v="669.6"/>
    <n v="12722.4"/>
    <n v="3348"/>
    <n v="9374.4"/>
    <d v="2014-02-01T00:00:00"/>
    <n v="2"/>
    <s v="February"/>
    <n v="2014"/>
  </r>
  <r>
    <x v="1"/>
    <x v="4"/>
    <x v="0"/>
    <x v="2"/>
    <n v="2791"/>
    <n v="3"/>
    <n v="15"/>
    <n v="41865"/>
    <n v="2093.25"/>
    <n v="39771.75"/>
    <n v="27910"/>
    <n v="11861.75"/>
    <d v="2014-11-01T00:00:00"/>
    <n v="11"/>
    <s v="November"/>
    <n v="2014"/>
  </r>
  <r>
    <x v="2"/>
    <x v="1"/>
    <x v="1"/>
    <x v="2"/>
    <n v="2342"/>
    <n v="5"/>
    <n v="12"/>
    <n v="28104"/>
    <n v="1405.2"/>
    <n v="26698.799999999999"/>
    <n v="7026"/>
    <n v="19672.8"/>
    <d v="2014-11-01T00:00:00"/>
    <n v="11"/>
    <s v="November"/>
    <n v="2014"/>
  </r>
  <r>
    <x v="1"/>
    <x v="3"/>
    <x v="5"/>
    <x v="2"/>
    <n v="555"/>
    <n v="120"/>
    <n v="15"/>
    <n v="8325"/>
    <n v="416.25"/>
    <n v="7908.75"/>
    <n v="5550"/>
    <n v="2358.75"/>
    <d v="2014-01-01T00:00:00"/>
    <n v="1"/>
    <s v="January"/>
    <n v="2014"/>
  </r>
  <r>
    <x v="1"/>
    <x v="4"/>
    <x v="5"/>
    <x v="2"/>
    <n v="2861"/>
    <n v="120"/>
    <n v="15"/>
    <n v="42915"/>
    <n v="2145.75"/>
    <n v="40769.25"/>
    <n v="28610"/>
    <n v="12159.25"/>
    <d v="2014-01-01T00:00:00"/>
    <n v="1"/>
    <s v="January"/>
    <n v="2014"/>
  </r>
  <r>
    <x v="1"/>
    <x v="0"/>
    <x v="0"/>
    <x v="2"/>
    <n v="2844"/>
    <n v="3"/>
    <n v="15"/>
    <n v="42660"/>
    <n v="2559.6"/>
    <n v="40100.400000000001"/>
    <n v="28440"/>
    <n v="11660.4"/>
    <d v="2014-06-01T00:00:00"/>
    <n v="6"/>
    <s v="June"/>
    <n v="2014"/>
  </r>
  <r>
    <x v="2"/>
    <x v="4"/>
    <x v="0"/>
    <x v="2"/>
    <n v="562"/>
    <n v="3"/>
    <n v="12"/>
    <n v="6744"/>
    <n v="404.64"/>
    <n v="6339.36"/>
    <n v="1686"/>
    <n v="4653.3599999999997"/>
    <d v="2014-09-01T00:00:00"/>
    <n v="9"/>
    <s v="September"/>
    <n v="2014"/>
  </r>
  <r>
    <x v="2"/>
    <x v="0"/>
    <x v="0"/>
    <x v="2"/>
    <n v="2299"/>
    <n v="3"/>
    <n v="12"/>
    <n v="27588"/>
    <n v="1655.28"/>
    <n v="25932.720000000001"/>
    <n v="6897"/>
    <n v="19035.72"/>
    <d v="2013-10-01T00:00:00"/>
    <n v="10"/>
    <s v="October"/>
    <n v="2013"/>
  </r>
  <r>
    <x v="1"/>
    <x v="3"/>
    <x v="0"/>
    <x v="2"/>
    <n v="2030"/>
    <n v="3"/>
    <n v="15"/>
    <n v="30450"/>
    <n v="1827"/>
    <n v="28623"/>
    <n v="20300"/>
    <n v="8323"/>
    <d v="2014-11-01T00:00:00"/>
    <n v="11"/>
    <s v="November"/>
    <n v="2014"/>
  </r>
  <r>
    <x v="2"/>
    <x v="3"/>
    <x v="1"/>
    <x v="2"/>
    <n v="2723"/>
    <n v="5"/>
    <n v="12"/>
    <n v="32676"/>
    <n v="1960.56"/>
    <n v="30715.439999999999"/>
    <n v="8169"/>
    <n v="22546.44"/>
    <d v="2014-11-01T00:00:00"/>
    <n v="11"/>
    <s v="November"/>
    <n v="2014"/>
  </r>
  <r>
    <x v="1"/>
    <x v="1"/>
    <x v="5"/>
    <x v="2"/>
    <n v="1530"/>
    <n v="120"/>
    <n v="15"/>
    <n v="22950"/>
    <n v="1377"/>
    <n v="21573"/>
    <n v="15300"/>
    <n v="6273"/>
    <d v="2014-05-01T00:00:00"/>
    <n v="5"/>
    <s v="May"/>
    <n v="2014"/>
  </r>
  <r>
    <x v="1"/>
    <x v="0"/>
    <x v="3"/>
    <x v="2"/>
    <n v="2844"/>
    <n v="250"/>
    <n v="15"/>
    <n v="42660"/>
    <n v="2559.6"/>
    <n v="40100.400000000001"/>
    <n v="28440"/>
    <n v="11660.4"/>
    <d v="2014-06-01T00:00:00"/>
    <n v="6"/>
    <s v="June"/>
    <n v="2014"/>
  </r>
  <r>
    <x v="1"/>
    <x v="3"/>
    <x v="3"/>
    <x v="2"/>
    <n v="1153"/>
    <n v="250"/>
    <n v="15"/>
    <n v="17295"/>
    <n v="1037.7"/>
    <n v="16257.3"/>
    <n v="11530"/>
    <n v="4727.3"/>
    <d v="2014-10-01T00:00:00"/>
    <n v="10"/>
    <s v="October"/>
    <n v="2014"/>
  </r>
  <r>
    <x v="2"/>
    <x v="4"/>
    <x v="0"/>
    <x v="2"/>
    <n v="727"/>
    <n v="3"/>
    <n v="12"/>
    <n v="8724"/>
    <n v="610.67999999999995"/>
    <n v="8113.32"/>
    <n v="2181"/>
    <n v="5932.32"/>
    <d v="2014-02-01T00:00:00"/>
    <n v="2"/>
    <s v="February"/>
    <n v="2014"/>
  </r>
  <r>
    <x v="2"/>
    <x v="0"/>
    <x v="0"/>
    <x v="2"/>
    <n v="1884"/>
    <n v="3"/>
    <n v="12"/>
    <n v="22608"/>
    <n v="1582.56"/>
    <n v="21025.439999999999"/>
    <n v="5652"/>
    <n v="15373.44"/>
    <d v="2014-08-01T00:00:00"/>
    <n v="8"/>
    <s v="August"/>
    <n v="2014"/>
  </r>
  <r>
    <x v="2"/>
    <x v="4"/>
    <x v="1"/>
    <x v="2"/>
    <n v="2340"/>
    <n v="5"/>
    <n v="12"/>
    <n v="28080"/>
    <n v="1965.6"/>
    <n v="26114.400000000001"/>
    <n v="7020"/>
    <n v="19094.400000000001"/>
    <d v="2014-01-01T00:00:00"/>
    <n v="1"/>
    <s v="January"/>
    <n v="2014"/>
  </r>
  <r>
    <x v="2"/>
    <x v="2"/>
    <x v="1"/>
    <x v="2"/>
    <n v="2342"/>
    <n v="5"/>
    <n v="12"/>
    <n v="28104"/>
    <n v="1967.28"/>
    <n v="26136.720000000001"/>
    <n v="7026"/>
    <n v="19110.72"/>
    <d v="2014-11-01T00:00:00"/>
    <n v="11"/>
    <s v="November"/>
    <n v="2014"/>
  </r>
  <r>
    <x v="1"/>
    <x v="0"/>
    <x v="5"/>
    <x v="2"/>
    <n v="1262"/>
    <n v="120"/>
    <n v="15"/>
    <n v="18930"/>
    <n v="1325.1"/>
    <n v="17604.900000000001"/>
    <n v="12620"/>
    <n v="4984.8999999999996"/>
    <d v="2014-05-01T00:00:00"/>
    <n v="5"/>
    <s v="May"/>
    <n v="2014"/>
  </r>
  <r>
    <x v="2"/>
    <x v="2"/>
    <x v="3"/>
    <x v="2"/>
    <n v="1738.5"/>
    <n v="250"/>
    <n v="12"/>
    <n v="20862"/>
    <n v="1460.34"/>
    <n v="19401.66"/>
    <n v="5215.5"/>
    <n v="14186.16"/>
    <d v="2014-04-01T00:00:00"/>
    <n v="4"/>
    <s v="April"/>
    <n v="2014"/>
  </r>
  <r>
    <x v="2"/>
    <x v="1"/>
    <x v="3"/>
    <x v="2"/>
    <n v="2215"/>
    <n v="250"/>
    <n v="12"/>
    <n v="26580"/>
    <n v="1860.6"/>
    <n v="24719.4"/>
    <n v="6645"/>
    <n v="18074.400000000001"/>
    <d v="2013-09-01T00:00:00"/>
    <n v="9"/>
    <s v="September"/>
    <n v="2013"/>
  </r>
  <r>
    <x v="2"/>
    <x v="0"/>
    <x v="3"/>
    <x v="2"/>
    <n v="3244.5"/>
    <n v="250"/>
    <n v="12"/>
    <n v="38934"/>
    <n v="2725.38"/>
    <n v="36208.620000000003"/>
    <n v="9733.5"/>
    <n v="26475.119999999999"/>
    <d v="2014-01-01T00:00:00"/>
    <n v="1"/>
    <s v="January"/>
    <n v="2014"/>
  </r>
  <r>
    <x v="1"/>
    <x v="2"/>
    <x v="0"/>
    <x v="2"/>
    <n v="490"/>
    <n v="3"/>
    <n v="15"/>
    <n v="7350"/>
    <n v="588"/>
    <n v="6762"/>
    <n v="4900"/>
    <n v="1862"/>
    <d v="2014-11-01T00:00:00"/>
    <n v="11"/>
    <s v="November"/>
    <n v="2014"/>
  </r>
  <r>
    <x v="1"/>
    <x v="2"/>
    <x v="1"/>
    <x v="2"/>
    <n v="2501"/>
    <n v="5"/>
    <n v="15"/>
    <n v="37515"/>
    <n v="3001.2"/>
    <n v="34513.800000000003"/>
    <n v="25010"/>
    <n v="9503.7999999999993"/>
    <d v="2014-03-01T00:00:00"/>
    <n v="3"/>
    <s v="March"/>
    <n v="2014"/>
  </r>
  <r>
    <x v="1"/>
    <x v="1"/>
    <x v="1"/>
    <x v="2"/>
    <n v="711"/>
    <n v="5"/>
    <n v="15"/>
    <n v="10665"/>
    <n v="853.2"/>
    <n v="9811.7999999999993"/>
    <n v="7110"/>
    <n v="2701.8"/>
    <d v="2014-12-01T00:00:00"/>
    <n v="12"/>
    <s v="December"/>
    <n v="2014"/>
  </r>
  <r>
    <x v="2"/>
    <x v="0"/>
    <x v="5"/>
    <x v="2"/>
    <n v="598"/>
    <n v="120"/>
    <n v="12"/>
    <n v="7176"/>
    <n v="574.08000000000004"/>
    <n v="6601.92"/>
    <n v="1794"/>
    <n v="4807.92"/>
    <d v="2014-03-01T00:00:00"/>
    <n v="3"/>
    <s v="March"/>
    <n v="2014"/>
  </r>
  <r>
    <x v="1"/>
    <x v="1"/>
    <x v="4"/>
    <x v="2"/>
    <n v="711"/>
    <n v="260"/>
    <n v="15"/>
    <n v="10665"/>
    <n v="853.2"/>
    <n v="9811.7999999999993"/>
    <n v="7110"/>
    <n v="2701.8"/>
    <d v="2014-12-01T00:00:00"/>
    <n v="12"/>
    <s v="December"/>
    <n v="2014"/>
  </r>
  <r>
    <x v="2"/>
    <x v="4"/>
    <x v="4"/>
    <x v="2"/>
    <n v="1375"/>
    <n v="260"/>
    <n v="12"/>
    <n v="16500"/>
    <n v="1320"/>
    <n v="15180"/>
    <n v="4125"/>
    <n v="11055"/>
    <d v="2013-12-01T00:00:00"/>
    <n v="12"/>
    <s v="December"/>
    <n v="2013"/>
  </r>
  <r>
    <x v="2"/>
    <x v="4"/>
    <x v="0"/>
    <x v="2"/>
    <n v="367"/>
    <n v="3"/>
    <n v="12"/>
    <n v="4404"/>
    <n v="396.36"/>
    <n v="4007.64"/>
    <n v="1101"/>
    <n v="2906.64"/>
    <d v="2013-10-01T00:00:00"/>
    <n v="10"/>
    <s v="October"/>
    <n v="2013"/>
  </r>
  <r>
    <x v="2"/>
    <x v="0"/>
    <x v="1"/>
    <x v="2"/>
    <n v="2321"/>
    <n v="5"/>
    <n v="12"/>
    <n v="27852"/>
    <n v="2506.6799999999998"/>
    <n v="25345.32"/>
    <n v="6963"/>
    <n v="18382.32"/>
    <d v="2014-11-01T00:00:00"/>
    <n v="11"/>
    <s v="November"/>
    <n v="2014"/>
  </r>
  <r>
    <x v="1"/>
    <x v="4"/>
    <x v="5"/>
    <x v="2"/>
    <n v="245"/>
    <n v="120"/>
    <n v="15"/>
    <n v="3675"/>
    <n v="330.75"/>
    <n v="3344.25"/>
    <n v="2450"/>
    <n v="894.25"/>
    <d v="2014-05-01T00:00:00"/>
    <n v="5"/>
    <s v="May"/>
    <n v="2014"/>
  </r>
  <r>
    <x v="2"/>
    <x v="3"/>
    <x v="3"/>
    <x v="2"/>
    <n v="1956"/>
    <n v="250"/>
    <n v="12"/>
    <n v="23472"/>
    <n v="2112.48"/>
    <n v="21359.52"/>
    <n v="5868"/>
    <n v="15491.52"/>
    <d v="2014-01-01T00:00:00"/>
    <n v="1"/>
    <s v="January"/>
    <n v="2014"/>
  </r>
  <r>
    <x v="2"/>
    <x v="1"/>
    <x v="3"/>
    <x v="2"/>
    <n v="880"/>
    <n v="250"/>
    <n v="12"/>
    <n v="10560"/>
    <n v="950.4"/>
    <n v="9609.6"/>
    <n v="2640"/>
    <n v="6969.6"/>
    <d v="2014-05-01T00:00:00"/>
    <n v="5"/>
    <s v="May"/>
    <n v="2014"/>
  </r>
  <r>
    <x v="2"/>
    <x v="2"/>
    <x v="3"/>
    <x v="2"/>
    <n v="2234"/>
    <n v="250"/>
    <n v="12"/>
    <n v="26808"/>
    <n v="2412.7199999999998"/>
    <n v="24395.279999999999"/>
    <n v="6702"/>
    <n v="17693.28"/>
    <d v="2013-09-01T00:00:00"/>
    <n v="9"/>
    <s v="September"/>
    <n v="2013"/>
  </r>
  <r>
    <x v="1"/>
    <x v="2"/>
    <x v="3"/>
    <x v="2"/>
    <n v="1227"/>
    <n v="250"/>
    <n v="15"/>
    <n v="18405"/>
    <n v="1656.45"/>
    <n v="16748.55"/>
    <n v="12270"/>
    <n v="4478.55"/>
    <d v="2014-10-01T00:00:00"/>
    <n v="10"/>
    <s v="October"/>
    <n v="2014"/>
  </r>
  <r>
    <x v="1"/>
    <x v="1"/>
    <x v="4"/>
    <x v="2"/>
    <n v="970"/>
    <n v="260"/>
    <n v="15"/>
    <n v="14550"/>
    <n v="1309.5"/>
    <n v="13240.5"/>
    <n v="9700"/>
    <n v="3540.5"/>
    <d v="2013-11-01T00:00:00"/>
    <n v="11"/>
    <s v="November"/>
    <n v="2013"/>
  </r>
  <r>
    <x v="2"/>
    <x v="1"/>
    <x v="0"/>
    <x v="2"/>
    <n v="1580"/>
    <n v="3"/>
    <n v="12"/>
    <n v="18960"/>
    <n v="1706.4"/>
    <n v="17253.599999999999"/>
    <n v="4740"/>
    <n v="12513.6"/>
    <d v="2014-09-01T00:00:00"/>
    <n v="9"/>
    <s v="September"/>
    <n v="2014"/>
  </r>
  <r>
    <x v="2"/>
    <x v="2"/>
    <x v="5"/>
    <x v="2"/>
    <n v="1967"/>
    <n v="120"/>
    <n v="12"/>
    <n v="23604"/>
    <n v="2124.36"/>
    <n v="21479.64"/>
    <n v="5901"/>
    <n v="15578.64"/>
    <d v="2014-03-01T00:00:00"/>
    <n v="3"/>
    <s v="March"/>
    <n v="2014"/>
  </r>
  <r>
    <x v="1"/>
    <x v="4"/>
    <x v="5"/>
    <x v="2"/>
    <n v="2628"/>
    <n v="120"/>
    <n v="15"/>
    <n v="39420"/>
    <n v="3547.8"/>
    <n v="35872.199999999997"/>
    <n v="26280"/>
    <n v="9592.2000000000007"/>
    <d v="2014-04-01T00:00:00"/>
    <n v="4"/>
    <s v="April"/>
    <n v="2014"/>
  </r>
  <r>
    <x v="1"/>
    <x v="0"/>
    <x v="4"/>
    <x v="2"/>
    <n v="1630.5"/>
    <n v="260"/>
    <n v="15"/>
    <n v="24457.5"/>
    <n v="2201.1750000000002"/>
    <n v="22256.325000000001"/>
    <n v="16305"/>
    <n v="5951.3249999999998"/>
    <d v="2014-07-01T00:00:00"/>
    <n v="7"/>
    <s v="July"/>
    <n v="2014"/>
  </r>
  <r>
    <x v="2"/>
    <x v="2"/>
    <x v="4"/>
    <x v="2"/>
    <n v="306"/>
    <n v="260"/>
    <n v="12"/>
    <n v="3672"/>
    <n v="330.48"/>
    <n v="3341.52"/>
    <n v="918"/>
    <n v="2423.52"/>
    <d v="2013-12-01T00:00:00"/>
    <n v="12"/>
    <s v="December"/>
    <n v="2013"/>
  </r>
  <r>
    <x v="2"/>
    <x v="3"/>
    <x v="0"/>
    <x v="0"/>
    <n v="386"/>
    <n v="3"/>
    <n v="12"/>
    <n v="4632"/>
    <n v="463.2"/>
    <n v="4168.8"/>
    <n v="1158"/>
    <n v="3010.8"/>
    <d v="2013-10-01T00:00:00"/>
    <n v="10"/>
    <s v="October"/>
    <n v="2013"/>
  </r>
  <r>
    <x v="1"/>
    <x v="2"/>
    <x v="1"/>
    <x v="0"/>
    <n v="2072"/>
    <n v="5"/>
    <n v="15"/>
    <n v="31080"/>
    <n v="3108"/>
    <n v="27972"/>
    <n v="20720"/>
    <n v="7252"/>
    <d v="2014-12-01T00:00:00"/>
    <n v="12"/>
    <s v="December"/>
    <n v="2014"/>
  </r>
  <r>
    <x v="1"/>
    <x v="1"/>
    <x v="5"/>
    <x v="0"/>
    <n v="681"/>
    <n v="120"/>
    <n v="15"/>
    <n v="10215"/>
    <n v="1021.5"/>
    <n v="9193.5"/>
    <n v="6810"/>
    <n v="2383.5"/>
    <d v="2014-01-01T00:00:00"/>
    <n v="1"/>
    <s v="January"/>
    <n v="2014"/>
  </r>
  <r>
    <x v="1"/>
    <x v="1"/>
    <x v="5"/>
    <x v="0"/>
    <n v="510"/>
    <n v="120"/>
    <n v="15"/>
    <n v="7650"/>
    <n v="765"/>
    <n v="6885"/>
    <n v="5100"/>
    <n v="1785"/>
    <d v="2014-04-01T00:00:00"/>
    <n v="4"/>
    <s v="April"/>
    <n v="2014"/>
  </r>
  <r>
    <x v="1"/>
    <x v="3"/>
    <x v="5"/>
    <x v="0"/>
    <n v="790"/>
    <n v="120"/>
    <n v="15"/>
    <n v="11850"/>
    <n v="1185"/>
    <n v="10665"/>
    <n v="7900"/>
    <n v="2765"/>
    <d v="2014-05-01T00:00:00"/>
    <n v="5"/>
    <s v="May"/>
    <n v="2014"/>
  </r>
  <r>
    <x v="3"/>
    <x v="4"/>
    <x v="3"/>
    <x v="0"/>
    <n v="341"/>
    <n v="250"/>
    <n v="125"/>
    <n v="42625"/>
    <n v="4262.5"/>
    <n v="38362.5"/>
    <n v="40920"/>
    <n v="-2557.5"/>
    <d v="2014-05-01T00:00:00"/>
    <n v="5"/>
    <s v="May"/>
    <n v="2014"/>
  </r>
  <r>
    <x v="1"/>
    <x v="4"/>
    <x v="3"/>
    <x v="0"/>
    <n v="641"/>
    <n v="250"/>
    <n v="15"/>
    <n v="9615"/>
    <n v="961.5"/>
    <n v="8653.5"/>
    <n v="6410"/>
    <n v="2243.5"/>
    <d v="2014-07-01T00:00:00"/>
    <n v="7"/>
    <s v="July"/>
    <n v="2014"/>
  </r>
  <r>
    <x v="1"/>
    <x v="2"/>
    <x v="3"/>
    <x v="0"/>
    <n v="2167"/>
    <n v="250"/>
    <n v="15"/>
    <n v="32505"/>
    <n v="3250.5"/>
    <n v="29254.5"/>
    <n v="21670"/>
    <n v="7584.5"/>
    <d v="2013-10-01T00:00:00"/>
    <n v="10"/>
    <s v="October"/>
    <n v="2013"/>
  </r>
  <r>
    <x v="2"/>
    <x v="0"/>
    <x v="4"/>
    <x v="0"/>
    <n v="3520.5"/>
    <n v="260"/>
    <n v="12"/>
    <n v="42246"/>
    <n v="4224.6000000000004"/>
    <n v="38021.4"/>
    <n v="10561.5"/>
    <n v="27459.9"/>
    <d v="2014-04-01T00:00:00"/>
    <n v="4"/>
    <s v="April"/>
    <n v="2014"/>
  </r>
  <r>
    <x v="2"/>
    <x v="1"/>
    <x v="4"/>
    <x v="0"/>
    <n v="2574"/>
    <n v="260"/>
    <n v="12"/>
    <n v="30888"/>
    <n v="3088.8"/>
    <n v="27799.200000000001"/>
    <n v="7722"/>
    <n v="20077.2"/>
    <d v="2014-08-01T00:00:00"/>
    <n v="8"/>
    <s v="August"/>
    <n v="2014"/>
  </r>
  <r>
    <x v="1"/>
    <x v="2"/>
    <x v="4"/>
    <x v="0"/>
    <n v="2072"/>
    <n v="260"/>
    <n v="15"/>
    <n v="31080"/>
    <n v="3108"/>
    <n v="27972"/>
    <n v="20720"/>
    <n v="7252"/>
    <d v="2014-12-01T00:00:00"/>
    <n v="12"/>
    <s v="December"/>
    <n v="2014"/>
  </r>
  <r>
    <x v="2"/>
    <x v="2"/>
    <x v="0"/>
    <x v="0"/>
    <n v="1198"/>
    <n v="3"/>
    <n v="12"/>
    <n v="14376"/>
    <n v="1581.36"/>
    <n v="12794.64"/>
    <n v="3594"/>
    <n v="9200.64"/>
    <d v="2013-10-01T00:00:00"/>
    <n v="10"/>
    <s v="October"/>
    <n v="2013"/>
  </r>
  <r>
    <x v="1"/>
    <x v="0"/>
    <x v="5"/>
    <x v="0"/>
    <n v="384"/>
    <n v="120"/>
    <n v="15"/>
    <n v="5760"/>
    <n v="633.6"/>
    <n v="5126.3999999999996"/>
    <n v="3840"/>
    <n v="1286.4000000000001"/>
    <d v="2014-01-01T00:00:00"/>
    <n v="1"/>
    <s v="January"/>
    <n v="2014"/>
  </r>
  <r>
    <x v="2"/>
    <x v="1"/>
    <x v="5"/>
    <x v="0"/>
    <n v="472"/>
    <n v="120"/>
    <n v="12"/>
    <n v="5664"/>
    <n v="623.04"/>
    <n v="5040.96"/>
    <n v="1416"/>
    <n v="3624.96"/>
    <d v="2014-10-01T00:00:00"/>
    <n v="10"/>
    <s v="October"/>
    <n v="2014"/>
  </r>
  <r>
    <x v="2"/>
    <x v="4"/>
    <x v="3"/>
    <x v="0"/>
    <n v="1005"/>
    <n v="250"/>
    <n v="12"/>
    <n v="12060"/>
    <n v="1326.6"/>
    <n v="10733.4"/>
    <n v="3015"/>
    <n v="7718.4"/>
    <d v="2013-09-01T00:00:00"/>
    <n v="9"/>
    <s v="September"/>
    <n v="2013"/>
  </r>
  <r>
    <x v="1"/>
    <x v="3"/>
    <x v="4"/>
    <x v="0"/>
    <n v="3199.5"/>
    <n v="260"/>
    <n v="15"/>
    <n v="47992.5"/>
    <n v="5279.1750000000002"/>
    <n v="42713.324999999997"/>
    <n v="31995"/>
    <n v="10718.325000000001"/>
    <d v="2014-07-01T00:00:00"/>
    <n v="7"/>
    <s v="July"/>
    <n v="2014"/>
  </r>
  <r>
    <x v="2"/>
    <x v="1"/>
    <x v="4"/>
    <x v="0"/>
    <n v="472"/>
    <n v="260"/>
    <n v="12"/>
    <n v="5664"/>
    <n v="623.04"/>
    <n v="5040.96"/>
    <n v="1416"/>
    <n v="3624.96"/>
    <d v="2014-10-01T00:00:00"/>
    <n v="10"/>
    <s v="October"/>
    <n v="2014"/>
  </r>
  <r>
    <x v="2"/>
    <x v="0"/>
    <x v="0"/>
    <x v="0"/>
    <n v="1937"/>
    <n v="3"/>
    <n v="12"/>
    <n v="23244"/>
    <n v="2556.84"/>
    <n v="20687.16"/>
    <n v="5811"/>
    <n v="14876.16"/>
    <d v="2014-02-01T00:00:00"/>
    <n v="2"/>
    <s v="February"/>
    <n v="2014"/>
  </r>
  <r>
    <x v="1"/>
    <x v="0"/>
    <x v="0"/>
    <x v="0"/>
    <n v="1560"/>
    <n v="3"/>
    <n v="15"/>
    <n v="23400"/>
    <n v="2574"/>
    <n v="20826"/>
    <n v="15600"/>
    <n v="5226"/>
    <d v="2013-11-01T00:00:00"/>
    <n v="11"/>
    <s v="November"/>
    <n v="2013"/>
  </r>
  <r>
    <x v="1"/>
    <x v="4"/>
    <x v="1"/>
    <x v="0"/>
    <n v="2157"/>
    <n v="5"/>
    <n v="15"/>
    <n v="32355"/>
    <n v="3559.05"/>
    <n v="28795.95"/>
    <n v="21570"/>
    <n v="7225.95"/>
    <d v="2014-12-01T00:00:00"/>
    <n v="12"/>
    <s v="December"/>
    <n v="2014"/>
  </r>
  <r>
    <x v="1"/>
    <x v="4"/>
    <x v="5"/>
    <x v="0"/>
    <n v="655"/>
    <n v="120"/>
    <n v="15"/>
    <n v="9825"/>
    <n v="1080.75"/>
    <n v="8744.25"/>
    <n v="6550"/>
    <n v="2194.25"/>
    <d v="2013-09-01T00:00:00"/>
    <n v="9"/>
    <s v="September"/>
    <n v="2013"/>
  </r>
  <r>
    <x v="2"/>
    <x v="2"/>
    <x v="3"/>
    <x v="0"/>
    <n v="1734"/>
    <n v="250"/>
    <n v="12"/>
    <n v="20808"/>
    <n v="2288.88"/>
    <n v="18519.12"/>
    <n v="5202"/>
    <n v="13317.12"/>
    <d v="2014-01-01T00:00:00"/>
    <n v="1"/>
    <s v="January"/>
    <n v="2014"/>
  </r>
  <r>
    <x v="1"/>
    <x v="4"/>
    <x v="4"/>
    <x v="0"/>
    <n v="2157"/>
    <n v="260"/>
    <n v="15"/>
    <n v="32355"/>
    <n v="3559.05"/>
    <n v="28795.95"/>
    <n v="21570"/>
    <n v="7225.95"/>
    <d v="2014-12-01T00:00:00"/>
    <n v="12"/>
    <s v="December"/>
    <n v="2014"/>
  </r>
  <r>
    <x v="1"/>
    <x v="0"/>
    <x v="0"/>
    <x v="0"/>
    <n v="2689"/>
    <n v="3"/>
    <n v="15"/>
    <n v="40335"/>
    <n v="4840.2"/>
    <n v="35494.800000000003"/>
    <n v="26890"/>
    <n v="8604.7999999999993"/>
    <d v="2014-11-01T00:00:00"/>
    <n v="11"/>
    <s v="November"/>
    <n v="2014"/>
  </r>
  <r>
    <x v="1"/>
    <x v="3"/>
    <x v="1"/>
    <x v="0"/>
    <n v="677"/>
    <n v="5"/>
    <n v="15"/>
    <n v="10155"/>
    <n v="1218.5999999999999"/>
    <n v="8936.4"/>
    <n v="6770"/>
    <n v="2166.4"/>
    <d v="2014-03-01T00:00:00"/>
    <n v="3"/>
    <s v="March"/>
    <n v="2014"/>
  </r>
  <r>
    <x v="2"/>
    <x v="0"/>
    <x v="3"/>
    <x v="0"/>
    <n v="2109"/>
    <n v="250"/>
    <n v="12"/>
    <n v="25308"/>
    <n v="3036.96"/>
    <n v="22271.040000000001"/>
    <n v="6327"/>
    <n v="15944.04"/>
    <d v="2014-05-01T00:00:00"/>
    <n v="5"/>
    <s v="May"/>
    <n v="2014"/>
  </r>
  <r>
    <x v="1"/>
    <x v="2"/>
    <x v="3"/>
    <x v="0"/>
    <n v="3874.5"/>
    <n v="250"/>
    <n v="15"/>
    <n v="58117.5"/>
    <n v="6974.1"/>
    <n v="51143.4"/>
    <n v="38745"/>
    <n v="12398.4"/>
    <d v="2014-07-01T00:00:00"/>
    <n v="7"/>
    <s v="July"/>
    <n v="2014"/>
  </r>
  <r>
    <x v="1"/>
    <x v="3"/>
    <x v="4"/>
    <x v="0"/>
    <n v="2548"/>
    <n v="260"/>
    <n v="15"/>
    <n v="38220"/>
    <n v="4586.3999999999996"/>
    <n v="33633.599999999999"/>
    <n v="25480"/>
    <n v="8153.6"/>
    <d v="2013-11-01T00:00:00"/>
    <n v="11"/>
    <s v="November"/>
    <n v="2013"/>
  </r>
  <r>
    <x v="2"/>
    <x v="4"/>
    <x v="1"/>
    <x v="0"/>
    <n v="2661"/>
    <n v="5"/>
    <n v="12"/>
    <n v="31932"/>
    <n v="3831.84"/>
    <n v="28100.16"/>
    <n v="7983"/>
    <n v="20117.16"/>
    <d v="2014-05-01T00:00:00"/>
    <n v="5"/>
    <s v="May"/>
    <n v="2014"/>
  </r>
  <r>
    <x v="2"/>
    <x v="0"/>
    <x v="4"/>
    <x v="0"/>
    <n v="2761"/>
    <n v="260"/>
    <n v="12"/>
    <n v="33132"/>
    <n v="3975.84"/>
    <n v="29156.16"/>
    <n v="8283"/>
    <n v="20873.16"/>
    <d v="2013-09-01T00:00:00"/>
    <n v="9"/>
    <s v="September"/>
    <n v="2013"/>
  </r>
  <r>
    <x v="1"/>
    <x v="3"/>
    <x v="0"/>
    <x v="0"/>
    <n v="2567"/>
    <n v="3"/>
    <n v="15"/>
    <n v="38505"/>
    <n v="5005.6499999999996"/>
    <n v="33499.35"/>
    <n v="25670"/>
    <n v="7829.35"/>
    <d v="2014-06-01T00:00:00"/>
    <n v="6"/>
    <s v="June"/>
    <n v="2014"/>
  </r>
  <r>
    <x v="1"/>
    <x v="3"/>
    <x v="3"/>
    <x v="0"/>
    <n v="2567"/>
    <n v="250"/>
    <n v="15"/>
    <n v="38505"/>
    <n v="5005.6499999999996"/>
    <n v="33499.35"/>
    <n v="25670"/>
    <n v="7829.35"/>
    <d v="2014-06-01T00:00:00"/>
    <n v="6"/>
    <s v="June"/>
    <n v="2014"/>
  </r>
  <r>
    <x v="2"/>
    <x v="4"/>
    <x v="1"/>
    <x v="0"/>
    <n v="604"/>
    <n v="5"/>
    <n v="12"/>
    <n v="7248"/>
    <n v="942.24"/>
    <n v="6305.76"/>
    <n v="1812"/>
    <n v="4493.76"/>
    <d v="2014-06-01T00:00:00"/>
    <n v="6"/>
    <s v="June"/>
    <n v="2014"/>
  </r>
  <r>
    <x v="1"/>
    <x v="2"/>
    <x v="5"/>
    <x v="0"/>
    <n v="3997.5"/>
    <n v="120"/>
    <n v="15"/>
    <n v="59962.5"/>
    <n v="7795.125"/>
    <n v="52167.375"/>
    <n v="39975"/>
    <n v="12192.375"/>
    <d v="2014-01-01T00:00:00"/>
    <n v="1"/>
    <s v="January"/>
    <n v="2014"/>
  </r>
  <r>
    <x v="2"/>
    <x v="4"/>
    <x v="5"/>
    <x v="0"/>
    <n v="604"/>
    <n v="120"/>
    <n v="12"/>
    <n v="7248"/>
    <n v="942.24"/>
    <n v="6305.76"/>
    <n v="1812"/>
    <n v="4493.76"/>
    <d v="2014-06-01T00:00:00"/>
    <n v="6"/>
    <s v="June"/>
    <n v="2014"/>
  </r>
  <r>
    <x v="1"/>
    <x v="1"/>
    <x v="5"/>
    <x v="0"/>
    <n v="660"/>
    <n v="120"/>
    <n v="15"/>
    <n v="9900"/>
    <n v="1287"/>
    <n v="8613"/>
    <n v="6600"/>
    <n v="2013"/>
    <d v="2013-09-01T00:00:00"/>
    <n v="9"/>
    <s v="September"/>
    <n v="2013"/>
  </r>
  <r>
    <x v="2"/>
    <x v="4"/>
    <x v="5"/>
    <x v="0"/>
    <n v="410"/>
    <n v="120"/>
    <n v="12"/>
    <n v="4920"/>
    <n v="639.6"/>
    <n v="4280.3999999999996"/>
    <n v="1230"/>
    <n v="3050.4"/>
    <d v="2014-10-01T00:00:00"/>
    <n v="10"/>
    <s v="October"/>
    <n v="2014"/>
  </r>
  <r>
    <x v="2"/>
    <x v="1"/>
    <x v="5"/>
    <x v="0"/>
    <n v="1013"/>
    <n v="120"/>
    <n v="12"/>
    <n v="12156"/>
    <n v="1580.28"/>
    <n v="10575.72"/>
    <n v="3039"/>
    <n v="7536.72"/>
    <d v="2014-12-01T00:00:00"/>
    <n v="12"/>
    <s v="December"/>
    <n v="2014"/>
  </r>
  <r>
    <x v="1"/>
    <x v="0"/>
    <x v="3"/>
    <x v="0"/>
    <n v="1565"/>
    <n v="250"/>
    <n v="15"/>
    <n v="23475"/>
    <n v="3051.75"/>
    <n v="20423.25"/>
    <n v="15650"/>
    <n v="4773.25"/>
    <d v="2014-10-01T00:00:00"/>
    <n v="10"/>
    <s v="October"/>
    <n v="2014"/>
  </r>
  <r>
    <x v="2"/>
    <x v="4"/>
    <x v="4"/>
    <x v="0"/>
    <n v="410"/>
    <n v="260"/>
    <n v="12"/>
    <n v="4920"/>
    <n v="639.6"/>
    <n v="4280.3999999999996"/>
    <n v="1230"/>
    <n v="3050.4"/>
    <d v="2014-10-01T00:00:00"/>
    <n v="10"/>
    <s v="October"/>
    <n v="2014"/>
  </r>
  <r>
    <x v="2"/>
    <x v="1"/>
    <x v="4"/>
    <x v="0"/>
    <n v="1770"/>
    <n v="260"/>
    <n v="12"/>
    <n v="21240"/>
    <n v="2761.2"/>
    <n v="18478.8"/>
    <n v="5310"/>
    <n v="13168.8"/>
    <d v="2013-12-01T00:00:00"/>
    <n v="12"/>
    <s v="December"/>
    <n v="2013"/>
  </r>
  <r>
    <x v="2"/>
    <x v="2"/>
    <x v="4"/>
    <x v="0"/>
    <n v="1393"/>
    <n v="260"/>
    <n v="12"/>
    <n v="16716"/>
    <n v="2340.2399999999998"/>
    <n v="14375.76"/>
    <n v="4179"/>
    <n v="10196.76"/>
    <d v="2014-10-01T00:00:00"/>
    <n v="10"/>
    <s v="October"/>
    <n v="2014"/>
  </r>
  <r>
    <x v="2"/>
    <x v="3"/>
    <x v="4"/>
    <x v="0"/>
    <n v="2015"/>
    <n v="260"/>
    <n v="12"/>
    <n v="24180"/>
    <n v="3385.2"/>
    <n v="20794.8"/>
    <n v="6045"/>
    <n v="14749.8"/>
    <d v="2013-12-01T00:00:00"/>
    <n v="12"/>
    <s v="December"/>
    <n v="2013"/>
  </r>
  <r>
    <x v="1"/>
    <x v="1"/>
    <x v="0"/>
    <x v="0"/>
    <n v="1513"/>
    <n v="3"/>
    <n v="15"/>
    <n v="22695"/>
    <n v="3177.3"/>
    <n v="19517.7"/>
    <n v="15130"/>
    <n v="4387.7"/>
    <d v="2014-11-01T00:00:00"/>
    <n v="11"/>
    <s v="November"/>
    <n v="2014"/>
  </r>
  <r>
    <x v="1"/>
    <x v="0"/>
    <x v="0"/>
    <x v="0"/>
    <n v="2300"/>
    <n v="3"/>
    <n v="15"/>
    <n v="34500"/>
    <n v="4830"/>
    <n v="29670"/>
    <n v="23000"/>
    <n v="6670"/>
    <d v="2014-12-01T00:00:00"/>
    <n v="12"/>
    <s v="December"/>
    <n v="2014"/>
  </r>
  <r>
    <x v="1"/>
    <x v="0"/>
    <x v="1"/>
    <x v="0"/>
    <n v="2300"/>
    <n v="5"/>
    <n v="15"/>
    <n v="34500"/>
    <n v="4830"/>
    <n v="29670"/>
    <n v="23000"/>
    <n v="6670"/>
    <d v="2014-12-01T00:00:00"/>
    <n v="12"/>
    <s v="December"/>
    <n v="2014"/>
  </r>
  <r>
    <x v="2"/>
    <x v="2"/>
    <x v="4"/>
    <x v="0"/>
    <n v="2475"/>
    <n v="260"/>
    <n v="12"/>
    <n v="29700"/>
    <n v="4158"/>
    <n v="25542"/>
    <n v="7425"/>
    <n v="18117"/>
    <d v="2014-08-01T00:00:00"/>
    <n v="8"/>
    <s v="August"/>
    <n v="2014"/>
  </r>
  <r>
    <x v="1"/>
    <x v="0"/>
    <x v="4"/>
    <x v="0"/>
    <n v="1743"/>
    <n v="260"/>
    <n v="15"/>
    <n v="26145"/>
    <n v="3660.3"/>
    <n v="22484.7"/>
    <n v="17430"/>
    <n v="5054.7"/>
    <d v="2013-10-01T00:00:00"/>
    <n v="10"/>
    <s v="October"/>
    <n v="2013"/>
  </r>
  <r>
    <x v="2"/>
    <x v="3"/>
    <x v="4"/>
    <x v="0"/>
    <n v="2914"/>
    <n v="260"/>
    <n v="12"/>
    <n v="34968"/>
    <n v="4895.5200000000004"/>
    <n v="30072.48"/>
    <n v="8742"/>
    <n v="21330.48"/>
    <d v="2014-10-01T00:00:00"/>
    <n v="10"/>
    <s v="October"/>
    <n v="2014"/>
  </r>
  <r>
    <x v="1"/>
    <x v="4"/>
    <x v="4"/>
    <x v="0"/>
    <n v="1870"/>
    <n v="260"/>
    <n v="15"/>
    <n v="28050"/>
    <n v="3927"/>
    <n v="24123"/>
    <n v="18700"/>
    <n v="5423"/>
    <d v="2013-11-01T00:00:00"/>
    <n v="11"/>
    <s v="November"/>
    <n v="2013"/>
  </r>
  <r>
    <x v="2"/>
    <x v="4"/>
    <x v="5"/>
    <x v="0"/>
    <n v="500"/>
    <n v="120"/>
    <n v="12"/>
    <n v="6000"/>
    <n v="900"/>
    <n v="5100"/>
    <n v="1500"/>
    <n v="3600"/>
    <d v="2014-03-01T00:00:00"/>
    <n v="3"/>
    <s v="March"/>
    <n v="2014"/>
  </r>
  <r>
    <x v="1"/>
    <x v="2"/>
    <x v="5"/>
    <x v="0"/>
    <n v="2826"/>
    <n v="120"/>
    <n v="15"/>
    <n v="42390"/>
    <n v="6358.5"/>
    <n v="36031.5"/>
    <n v="28260"/>
    <n v="7771.5"/>
    <d v="2014-05-01T00:00:00"/>
    <n v="5"/>
    <s v="May"/>
    <n v="2014"/>
  </r>
  <r>
    <x v="2"/>
    <x v="3"/>
    <x v="5"/>
    <x v="0"/>
    <n v="914"/>
    <n v="120"/>
    <n v="12"/>
    <n v="10968"/>
    <n v="1645.2"/>
    <n v="9322.7999999999993"/>
    <n v="2742"/>
    <n v="6580.8"/>
    <d v="2014-12-01T00:00:00"/>
    <n v="12"/>
    <s v="December"/>
    <n v="2014"/>
  </r>
  <r>
    <x v="1"/>
    <x v="1"/>
    <x v="3"/>
    <x v="0"/>
    <n v="492"/>
    <n v="250"/>
    <n v="15"/>
    <n v="7380"/>
    <n v="1107"/>
    <n v="6273"/>
    <n v="4920"/>
    <n v="1353"/>
    <d v="2014-07-01T00:00:00"/>
    <n v="7"/>
    <s v="July"/>
    <n v="2014"/>
  </r>
  <r>
    <x v="1"/>
    <x v="1"/>
    <x v="3"/>
    <x v="0"/>
    <n v="1175"/>
    <n v="250"/>
    <n v="15"/>
    <n v="17625"/>
    <n v="2643.75"/>
    <n v="14981.25"/>
    <n v="11750"/>
    <n v="3231.25"/>
    <d v="2014-10-01T00:00:00"/>
    <n v="10"/>
    <s v="October"/>
    <n v="2014"/>
  </r>
  <r>
    <x v="2"/>
    <x v="3"/>
    <x v="3"/>
    <x v="0"/>
    <n v="1806"/>
    <n v="250"/>
    <n v="12"/>
    <n v="21672"/>
    <n v="3250.8"/>
    <n v="18421.2"/>
    <n v="5418"/>
    <n v="13003.2"/>
    <d v="2014-05-01T00:00:00"/>
    <n v="5"/>
    <s v="May"/>
    <n v="2014"/>
  </r>
  <r>
    <x v="1"/>
    <x v="4"/>
    <x v="2"/>
    <x v="0"/>
    <n v="974"/>
    <n v="10"/>
    <n v="15"/>
    <n v="14610"/>
    <n v="0"/>
    <n v="14610"/>
    <n v="9740"/>
    <n v="4870"/>
    <d v="2014-02-01T00:00:00"/>
    <n v="2"/>
    <s v="February"/>
    <n v="2014"/>
  </r>
  <r>
    <x v="2"/>
    <x v="0"/>
    <x v="2"/>
    <x v="0"/>
    <n v="2518"/>
    <n v="10"/>
    <n v="12"/>
    <n v="30216"/>
    <n v="0"/>
    <n v="30216"/>
    <n v="7554"/>
    <n v="22662"/>
    <d v="2014-06-01T00:00:00"/>
    <n v="6"/>
    <s v="June"/>
    <n v="2014"/>
  </r>
  <r>
    <x v="2"/>
    <x v="1"/>
    <x v="2"/>
    <x v="0"/>
    <n v="367"/>
    <n v="10"/>
    <n v="12"/>
    <n v="4404"/>
    <n v="0"/>
    <n v="4404"/>
    <n v="1101"/>
    <n v="3303"/>
    <d v="2014-07-01T00:00:00"/>
    <n v="7"/>
    <s v="July"/>
    <n v="2014"/>
  </r>
  <r>
    <x v="1"/>
    <x v="2"/>
    <x v="2"/>
    <x v="0"/>
    <n v="549"/>
    <n v="10"/>
    <n v="15"/>
    <n v="8235"/>
    <n v="0"/>
    <n v="8235"/>
    <n v="5490"/>
    <n v="2745"/>
    <d v="2013-09-01T00:00:00"/>
    <n v="9"/>
    <s v="September"/>
    <n v="2013"/>
  </r>
  <r>
    <x v="1"/>
    <x v="4"/>
    <x v="2"/>
    <x v="0"/>
    <n v="2472"/>
    <n v="10"/>
    <n v="15"/>
    <n v="37080"/>
    <n v="0"/>
    <n v="37080"/>
    <n v="24720"/>
    <n v="12360"/>
    <d v="2014-09-01T00:00:00"/>
    <n v="9"/>
    <s v="September"/>
    <n v="2014"/>
  </r>
  <r>
    <x v="2"/>
    <x v="3"/>
    <x v="2"/>
    <x v="0"/>
    <n v="912"/>
    <n v="10"/>
    <n v="12"/>
    <n v="10944"/>
    <n v="0"/>
    <n v="10944"/>
    <n v="2736"/>
    <n v="8208"/>
    <d v="2013-11-01T00:00:00"/>
    <n v="11"/>
    <s v="November"/>
    <n v="2013"/>
  </r>
  <r>
    <x v="1"/>
    <x v="0"/>
    <x v="2"/>
    <x v="0"/>
    <n v="2152"/>
    <n v="10"/>
    <n v="15"/>
    <n v="32280"/>
    <n v="0"/>
    <n v="32280"/>
    <n v="21520"/>
    <n v="10760"/>
    <d v="2013-12-01T00:00:00"/>
    <n v="12"/>
    <s v="December"/>
    <n v="2013"/>
  </r>
  <r>
    <x v="1"/>
    <x v="2"/>
    <x v="2"/>
    <x v="1"/>
    <n v="2296"/>
    <n v="10"/>
    <n v="15"/>
    <n v="34440"/>
    <n v="344.4"/>
    <n v="34095.599999999999"/>
    <n v="22960"/>
    <n v="11135.6"/>
    <d v="2014-02-01T00:00:00"/>
    <n v="2"/>
    <s v="February"/>
    <n v="2014"/>
  </r>
  <r>
    <x v="1"/>
    <x v="3"/>
    <x v="2"/>
    <x v="1"/>
    <n v="1514"/>
    <n v="10"/>
    <n v="15"/>
    <n v="22710"/>
    <n v="227.1"/>
    <n v="22482.9"/>
    <n v="15140"/>
    <n v="7342.9"/>
    <d v="2014-02-01T00:00:00"/>
    <n v="2"/>
    <s v="February"/>
    <n v="2014"/>
  </r>
  <r>
    <x v="1"/>
    <x v="1"/>
    <x v="2"/>
    <x v="1"/>
    <n v="747"/>
    <n v="10"/>
    <n v="15"/>
    <n v="11205"/>
    <n v="112.05"/>
    <n v="11092.95"/>
    <n v="7470"/>
    <n v="3622.95"/>
    <d v="2014-09-01T00:00:00"/>
    <n v="9"/>
    <s v="September"/>
    <n v="2014"/>
  </r>
  <r>
    <x v="2"/>
    <x v="1"/>
    <x v="2"/>
    <x v="1"/>
    <n v="766"/>
    <n v="10"/>
    <n v="12"/>
    <n v="9192"/>
    <n v="91.92"/>
    <n v="9100.08"/>
    <n v="2298"/>
    <n v="6802.08"/>
    <d v="2013-10-01T00:00:00"/>
    <n v="10"/>
    <s v="October"/>
    <n v="2013"/>
  </r>
  <r>
    <x v="1"/>
    <x v="0"/>
    <x v="2"/>
    <x v="1"/>
    <n v="2363"/>
    <n v="10"/>
    <n v="15"/>
    <n v="35445"/>
    <n v="708.9"/>
    <n v="34736.1"/>
    <n v="23630"/>
    <n v="11106.1"/>
    <d v="2014-02-01T00:00:00"/>
    <n v="2"/>
    <s v="February"/>
    <n v="2014"/>
  </r>
  <r>
    <x v="2"/>
    <x v="3"/>
    <x v="2"/>
    <x v="1"/>
    <n v="1142"/>
    <n v="10"/>
    <n v="12"/>
    <n v="13704"/>
    <n v="274.08"/>
    <n v="13429.92"/>
    <n v="3426"/>
    <n v="10003.92"/>
    <d v="2014-06-01T00:00:00"/>
    <n v="6"/>
    <s v="June"/>
    <n v="2014"/>
  </r>
  <r>
    <x v="2"/>
    <x v="0"/>
    <x v="2"/>
    <x v="1"/>
    <n v="1295"/>
    <n v="10"/>
    <n v="12"/>
    <n v="15540"/>
    <n v="310.8"/>
    <n v="15229.2"/>
    <n v="3885"/>
    <n v="11344.2"/>
    <d v="2014-10-01T00:00:00"/>
    <n v="10"/>
    <s v="October"/>
    <n v="2014"/>
  </r>
  <r>
    <x v="2"/>
    <x v="2"/>
    <x v="2"/>
    <x v="1"/>
    <n v="1785"/>
    <n v="10"/>
    <n v="12"/>
    <n v="21420"/>
    <n v="428.4"/>
    <n v="20991.599999999999"/>
    <n v="5355"/>
    <n v="15636.6"/>
    <d v="2013-11-01T00:00:00"/>
    <n v="11"/>
    <s v="November"/>
    <n v="2013"/>
  </r>
  <r>
    <x v="1"/>
    <x v="3"/>
    <x v="2"/>
    <x v="1"/>
    <n v="1925"/>
    <n v="10"/>
    <n v="15"/>
    <n v="28875"/>
    <n v="577.5"/>
    <n v="28297.5"/>
    <n v="19250"/>
    <n v="9047.5"/>
    <d v="2013-12-01T00:00:00"/>
    <n v="12"/>
    <s v="December"/>
    <n v="2013"/>
  </r>
  <r>
    <x v="2"/>
    <x v="2"/>
    <x v="2"/>
    <x v="1"/>
    <n v="1055"/>
    <n v="10"/>
    <n v="12"/>
    <n v="12660"/>
    <n v="253.2"/>
    <n v="12406.8"/>
    <n v="3165"/>
    <n v="9241.7999999999993"/>
    <d v="2014-12-01T00:00:00"/>
    <n v="12"/>
    <s v="December"/>
    <n v="2014"/>
  </r>
  <r>
    <x v="2"/>
    <x v="4"/>
    <x v="2"/>
    <x v="1"/>
    <n v="1084"/>
    <n v="10"/>
    <n v="12"/>
    <n v="13008"/>
    <n v="260.16000000000003"/>
    <n v="12747.84"/>
    <n v="3252"/>
    <n v="9495.84"/>
    <d v="2014-12-01T00:00:00"/>
    <n v="12"/>
    <s v="December"/>
    <n v="2014"/>
  </r>
  <r>
    <x v="2"/>
    <x v="2"/>
    <x v="2"/>
    <x v="1"/>
    <n v="1901"/>
    <n v="10"/>
    <n v="12"/>
    <n v="22812"/>
    <n v="684.36"/>
    <n v="22127.64"/>
    <n v="5703"/>
    <n v="16424.64"/>
    <d v="2014-06-01T00:00:00"/>
    <n v="6"/>
    <s v="June"/>
    <n v="2014"/>
  </r>
  <r>
    <x v="2"/>
    <x v="3"/>
    <x v="2"/>
    <x v="1"/>
    <n v="1369.5"/>
    <n v="10"/>
    <n v="12"/>
    <n v="16434"/>
    <n v="493.02"/>
    <n v="15940.98"/>
    <n v="4108.5"/>
    <n v="11832.48"/>
    <d v="2014-07-01T00:00:00"/>
    <n v="7"/>
    <s v="July"/>
    <n v="2014"/>
  </r>
  <r>
    <x v="1"/>
    <x v="1"/>
    <x v="2"/>
    <x v="1"/>
    <n v="1945"/>
    <n v="10"/>
    <n v="15"/>
    <n v="29175"/>
    <n v="875.25"/>
    <n v="28299.75"/>
    <n v="19450"/>
    <n v="8849.75"/>
    <d v="2013-10-01T00:00:00"/>
    <n v="10"/>
    <s v="October"/>
    <n v="2013"/>
  </r>
  <r>
    <x v="1"/>
    <x v="4"/>
    <x v="2"/>
    <x v="1"/>
    <n v="2031"/>
    <n v="10"/>
    <n v="15"/>
    <n v="30465"/>
    <n v="1218.5999999999999"/>
    <n v="29246.400000000001"/>
    <n v="20310"/>
    <n v="8936.4"/>
    <d v="2014-10-01T00:00:00"/>
    <n v="10"/>
    <s v="October"/>
    <n v="2014"/>
  </r>
  <r>
    <x v="1"/>
    <x v="2"/>
    <x v="2"/>
    <x v="1"/>
    <n v="2261"/>
    <n v="10"/>
    <n v="15"/>
    <n v="33915"/>
    <n v="1356.6"/>
    <n v="32558.400000000001"/>
    <n v="22610"/>
    <n v="9948.4"/>
    <d v="2013-12-01T00:00:00"/>
    <n v="12"/>
    <s v="December"/>
    <n v="2013"/>
  </r>
  <r>
    <x v="1"/>
    <x v="0"/>
    <x v="2"/>
    <x v="1"/>
    <n v="218"/>
    <n v="10"/>
    <n v="15"/>
    <n v="3270"/>
    <n v="130.80000000000001"/>
    <n v="3139.2"/>
    <n v="2180"/>
    <n v="959.2"/>
    <d v="2014-09-01T00:00:00"/>
    <n v="9"/>
    <s v="September"/>
    <n v="2014"/>
  </r>
  <r>
    <x v="1"/>
    <x v="3"/>
    <x v="2"/>
    <x v="1"/>
    <n v="671"/>
    <n v="10"/>
    <n v="15"/>
    <n v="10065"/>
    <n v="402.6"/>
    <n v="9662.4"/>
    <n v="6710"/>
    <n v="2952.4"/>
    <d v="2013-10-01T00:00:00"/>
    <n v="10"/>
    <s v="October"/>
    <n v="2013"/>
  </r>
  <r>
    <x v="1"/>
    <x v="4"/>
    <x v="2"/>
    <x v="1"/>
    <n v="1514"/>
    <n v="10"/>
    <n v="15"/>
    <n v="22710"/>
    <n v="908.4"/>
    <n v="21801.599999999999"/>
    <n v="15140"/>
    <n v="6661.6"/>
    <d v="2013-10-01T00:00:00"/>
    <n v="10"/>
    <s v="October"/>
    <n v="2013"/>
  </r>
  <r>
    <x v="2"/>
    <x v="0"/>
    <x v="2"/>
    <x v="2"/>
    <n v="2431"/>
    <n v="10"/>
    <n v="12"/>
    <n v="29172"/>
    <n v="1458.6"/>
    <n v="27713.4"/>
    <n v="7293"/>
    <n v="20420.400000000001"/>
    <d v="2014-12-01T00:00:00"/>
    <n v="12"/>
    <s v="December"/>
    <n v="2014"/>
  </r>
  <r>
    <x v="1"/>
    <x v="2"/>
    <x v="2"/>
    <x v="2"/>
    <n v="2620"/>
    <n v="10"/>
    <n v="15"/>
    <n v="39300"/>
    <n v="1965"/>
    <n v="37335"/>
    <n v="26200"/>
    <n v="11135"/>
    <d v="2014-09-01T00:00:00"/>
    <n v="9"/>
    <s v="September"/>
    <n v="2014"/>
  </r>
  <r>
    <x v="1"/>
    <x v="1"/>
    <x v="2"/>
    <x v="2"/>
    <n v="2116"/>
    <n v="10"/>
    <n v="15"/>
    <n v="31740"/>
    <n v="1587"/>
    <n v="30153"/>
    <n v="21160"/>
    <n v="8993"/>
    <d v="2013-12-01T00:00:00"/>
    <n v="12"/>
    <s v="December"/>
    <n v="2013"/>
  </r>
  <r>
    <x v="1"/>
    <x v="2"/>
    <x v="2"/>
    <x v="2"/>
    <n v="3801"/>
    <n v="10"/>
    <n v="15"/>
    <n v="57015"/>
    <n v="3420.9"/>
    <n v="53594.1"/>
    <n v="38010"/>
    <n v="15584.1"/>
    <d v="2014-04-01T00:00:00"/>
    <n v="4"/>
    <s v="April"/>
    <n v="2014"/>
  </r>
  <r>
    <x v="2"/>
    <x v="0"/>
    <x v="2"/>
    <x v="2"/>
    <n v="2299"/>
    <n v="10"/>
    <n v="12"/>
    <n v="27588"/>
    <n v="1655.28"/>
    <n v="25932.720000000001"/>
    <n v="6897"/>
    <n v="19035.72"/>
    <d v="2013-10-01T00:00:00"/>
    <n v="10"/>
    <s v="October"/>
    <n v="2013"/>
  </r>
  <r>
    <x v="1"/>
    <x v="3"/>
    <x v="2"/>
    <x v="2"/>
    <n v="2198"/>
    <n v="10"/>
    <n v="15"/>
    <n v="32970"/>
    <n v="1978.2"/>
    <n v="30991.8"/>
    <n v="21980"/>
    <n v="9011.7999999999993"/>
    <d v="2014-08-01T00:00:00"/>
    <n v="8"/>
    <s v="August"/>
    <n v="2014"/>
  </r>
  <r>
    <x v="1"/>
    <x v="1"/>
    <x v="2"/>
    <x v="2"/>
    <n v="1743"/>
    <n v="10"/>
    <n v="15"/>
    <n v="26145"/>
    <n v="1568.7"/>
    <n v="24576.3"/>
    <n v="17430"/>
    <n v="7146.3"/>
    <d v="2014-08-01T00:00:00"/>
    <n v="8"/>
    <s v="August"/>
    <n v="2014"/>
  </r>
  <r>
    <x v="1"/>
    <x v="3"/>
    <x v="2"/>
    <x v="2"/>
    <n v="1153"/>
    <n v="10"/>
    <n v="15"/>
    <n v="17295"/>
    <n v="1037.7"/>
    <n v="16257.3"/>
    <n v="11530"/>
    <n v="4727.3"/>
    <d v="2014-10-01T00:00:00"/>
    <n v="10"/>
    <s v="October"/>
    <n v="2014"/>
  </r>
  <r>
    <x v="1"/>
    <x v="2"/>
    <x v="2"/>
    <x v="2"/>
    <n v="2101"/>
    <n v="10"/>
    <n v="15"/>
    <n v="31515"/>
    <n v="2206.0500000000002"/>
    <n v="29308.95"/>
    <n v="21010"/>
    <n v="8298.9500000000007"/>
    <d v="2014-08-01T00:00:00"/>
    <n v="8"/>
    <s v="August"/>
    <n v="2014"/>
  </r>
  <r>
    <x v="1"/>
    <x v="3"/>
    <x v="2"/>
    <x v="2"/>
    <n v="2931"/>
    <n v="10"/>
    <n v="15"/>
    <n v="43965"/>
    <n v="3077.55"/>
    <n v="40887.449999999997"/>
    <n v="29310"/>
    <n v="11577.45"/>
    <d v="2013-09-01T00:00:00"/>
    <n v="9"/>
    <s v="September"/>
    <n v="2013"/>
  </r>
  <r>
    <x v="2"/>
    <x v="4"/>
    <x v="2"/>
    <x v="2"/>
    <n v="2763"/>
    <n v="10"/>
    <n v="12"/>
    <n v="33156"/>
    <n v="2320.92"/>
    <n v="30835.08"/>
    <n v="8289"/>
    <n v="22546.080000000002"/>
    <d v="2013-11-01T00:00:00"/>
    <n v="11"/>
    <s v="November"/>
    <n v="2013"/>
  </r>
  <r>
    <x v="1"/>
    <x v="3"/>
    <x v="2"/>
    <x v="2"/>
    <n v="3675"/>
    <n v="10"/>
    <n v="15"/>
    <n v="55125"/>
    <n v="4961.25"/>
    <n v="50163.75"/>
    <n v="36750"/>
    <n v="13413.75"/>
    <d v="2014-04-01T00:00:00"/>
    <n v="4"/>
    <s v="April"/>
    <n v="2014"/>
  </r>
  <r>
    <x v="1"/>
    <x v="2"/>
    <x v="2"/>
    <x v="2"/>
    <n v="1227"/>
    <n v="10"/>
    <n v="15"/>
    <n v="18405"/>
    <n v="1656.45"/>
    <n v="16748.55"/>
    <n v="12270"/>
    <n v="4478.55"/>
    <d v="2014-10-01T00:00:00"/>
    <n v="10"/>
    <s v="October"/>
    <n v="2014"/>
  </r>
  <r>
    <x v="2"/>
    <x v="4"/>
    <x v="2"/>
    <x v="2"/>
    <n v="367"/>
    <n v="10"/>
    <n v="12"/>
    <n v="4404"/>
    <n v="396.36"/>
    <n v="4007.64"/>
    <n v="1101"/>
    <n v="2906.64"/>
    <d v="2013-10-01T00:00:00"/>
    <n v="10"/>
    <s v="October"/>
    <n v="2013"/>
  </r>
  <r>
    <x v="2"/>
    <x v="1"/>
    <x v="2"/>
    <x v="2"/>
    <n v="1775"/>
    <n v="10"/>
    <n v="12"/>
    <n v="21300"/>
    <n v="1917"/>
    <n v="19383"/>
    <n v="5325"/>
    <n v="14058"/>
    <d v="2013-11-01T00:00:00"/>
    <n v="11"/>
    <s v="November"/>
    <n v="2013"/>
  </r>
  <r>
    <x v="2"/>
    <x v="3"/>
    <x v="2"/>
    <x v="0"/>
    <n v="386"/>
    <n v="10"/>
    <n v="12"/>
    <n v="4632"/>
    <n v="463.2"/>
    <n v="4168.8"/>
    <n v="1158"/>
    <n v="3010.8"/>
    <d v="2013-10-01T00:00:00"/>
    <n v="10"/>
    <s v="October"/>
    <n v="2013"/>
  </r>
  <r>
    <x v="1"/>
    <x v="2"/>
    <x v="2"/>
    <x v="0"/>
    <n v="2167"/>
    <n v="10"/>
    <n v="15"/>
    <n v="32505"/>
    <n v="3250.5"/>
    <n v="29254.5"/>
    <n v="21670"/>
    <n v="7584.5"/>
    <d v="2013-10-01T00:00:00"/>
    <n v="10"/>
    <s v="October"/>
    <n v="2013"/>
  </r>
  <r>
    <x v="2"/>
    <x v="2"/>
    <x v="2"/>
    <x v="0"/>
    <n v="1198"/>
    <n v="10"/>
    <n v="12"/>
    <n v="14376"/>
    <n v="1581.36"/>
    <n v="12794.64"/>
    <n v="3594"/>
    <n v="9200.64"/>
    <d v="2013-10-01T00:00:00"/>
    <n v="10"/>
    <s v="October"/>
    <n v="2013"/>
  </r>
  <r>
    <x v="2"/>
    <x v="2"/>
    <x v="2"/>
    <x v="0"/>
    <n v="2425.5"/>
    <n v="10"/>
    <n v="12"/>
    <n v="29106"/>
    <n v="3201.66"/>
    <n v="25904.34"/>
    <n v="7276.5"/>
    <n v="18627.84"/>
    <d v="2014-07-01T00:00:00"/>
    <n v="7"/>
    <s v="July"/>
    <n v="2014"/>
  </r>
  <r>
    <x v="1"/>
    <x v="4"/>
    <x v="2"/>
    <x v="0"/>
    <n v="1984"/>
    <n v="10"/>
    <n v="15"/>
    <n v="29760"/>
    <n v="3273.6"/>
    <n v="26486.400000000001"/>
    <n v="19840"/>
    <n v="6646.4"/>
    <d v="2014-08-01T00:00:00"/>
    <n v="8"/>
    <s v="August"/>
    <n v="2014"/>
  </r>
  <r>
    <x v="1"/>
    <x v="4"/>
    <x v="2"/>
    <x v="0"/>
    <n v="380"/>
    <n v="10"/>
    <n v="15"/>
    <n v="5700"/>
    <n v="684"/>
    <n v="5016"/>
    <n v="3800"/>
    <n v="1216"/>
    <d v="2013-12-01T00:00:00"/>
    <n v="12"/>
    <s v="December"/>
    <n v="2013"/>
  </r>
  <r>
    <x v="2"/>
    <x v="4"/>
    <x v="2"/>
    <x v="0"/>
    <n v="571"/>
    <n v="10"/>
    <n v="12"/>
    <n v="6852"/>
    <n v="890.76"/>
    <n v="5961.24"/>
    <n v="1713"/>
    <n v="4248.24"/>
    <d v="2014-07-01T00:00:00"/>
    <n v="7"/>
    <s v="July"/>
    <n v="2014"/>
  </r>
  <r>
    <x v="1"/>
    <x v="0"/>
    <x v="2"/>
    <x v="0"/>
    <n v="1565"/>
    <n v="10"/>
    <n v="15"/>
    <n v="23475"/>
    <n v="3051.75"/>
    <n v="20423.25"/>
    <n v="15650"/>
    <n v="4773.25"/>
    <d v="2014-10-01T00:00:00"/>
    <n v="10"/>
    <s v="October"/>
    <n v="2014"/>
  </r>
  <r>
    <x v="2"/>
    <x v="1"/>
    <x v="2"/>
    <x v="0"/>
    <n v="1013"/>
    <n v="10"/>
    <n v="12"/>
    <n v="12156"/>
    <n v="1580.28"/>
    <n v="10575.72"/>
    <n v="3039"/>
    <n v="7536.72"/>
    <d v="2014-12-01T00:00:00"/>
    <n v="12"/>
    <s v="December"/>
    <n v="2014"/>
  </r>
  <r>
    <x v="1"/>
    <x v="1"/>
    <x v="2"/>
    <x v="0"/>
    <n v="278"/>
    <n v="10"/>
    <n v="15"/>
    <n v="4170"/>
    <n v="583.79999999999995"/>
    <n v="3586.2"/>
    <n v="2780"/>
    <n v="806.2"/>
    <d v="2014-02-01T00:00:00"/>
    <n v="2"/>
    <s v="February"/>
    <n v="2014"/>
  </r>
  <r>
    <x v="1"/>
    <x v="3"/>
    <x v="2"/>
    <x v="0"/>
    <n v="1767"/>
    <n v="10"/>
    <n v="15"/>
    <n v="26505"/>
    <n v="3710.7"/>
    <n v="22794.3"/>
    <n v="17670"/>
    <n v="5124.3"/>
    <d v="2014-09-01T00:00:00"/>
    <n v="9"/>
    <s v="September"/>
    <n v="2014"/>
  </r>
  <r>
    <x v="2"/>
    <x v="2"/>
    <x v="2"/>
    <x v="0"/>
    <n v="1393"/>
    <n v="10"/>
    <n v="12"/>
    <n v="16716"/>
    <n v="2340.2399999999998"/>
    <n v="14375.76"/>
    <n v="4179"/>
    <n v="10196.76"/>
    <d v="2014-10-01T00:00:00"/>
    <n v="10"/>
    <s v="October"/>
    <n v="2014"/>
  </r>
  <r>
    <x v="1"/>
    <x v="0"/>
    <x v="2"/>
    <x v="0"/>
    <n v="2470"/>
    <n v="10"/>
    <n v="15"/>
    <n v="37050"/>
    <n v="5187"/>
    <n v="31863"/>
    <n v="24700"/>
    <n v="7163"/>
    <d v="2013-09-01T00:00:00"/>
    <n v="9"/>
    <s v="September"/>
    <n v="2013"/>
  </r>
  <r>
    <x v="1"/>
    <x v="0"/>
    <x v="2"/>
    <x v="0"/>
    <n v="1743"/>
    <n v="10"/>
    <n v="15"/>
    <n v="26145"/>
    <n v="3660.3"/>
    <n v="22484.7"/>
    <n v="17430"/>
    <n v="5054.7"/>
    <d v="2013-10-01T00:00:00"/>
    <n v="10"/>
    <s v="October"/>
    <n v="2013"/>
  </r>
  <r>
    <x v="2"/>
    <x v="3"/>
    <x v="2"/>
    <x v="0"/>
    <n v="2914"/>
    <n v="10"/>
    <n v="12"/>
    <n v="34968"/>
    <n v="4895.5200000000004"/>
    <n v="30072.48"/>
    <n v="8742"/>
    <n v="21330.48"/>
    <d v="2014-10-01T00:00:00"/>
    <n v="10"/>
    <s v="October"/>
    <n v="2014"/>
  </r>
  <r>
    <x v="2"/>
    <x v="0"/>
    <x v="2"/>
    <x v="0"/>
    <n v="2222"/>
    <n v="10"/>
    <n v="12"/>
    <n v="26664"/>
    <n v="3732.96"/>
    <n v="22931.040000000001"/>
    <n v="6666"/>
    <n v="16265.04"/>
    <d v="2013-11-01T00:00:00"/>
    <n v="11"/>
    <s v="November"/>
    <n v="2013"/>
  </r>
  <r>
    <x v="1"/>
    <x v="0"/>
    <x v="2"/>
    <x v="0"/>
    <n v="1614"/>
    <n v="10"/>
    <n v="15"/>
    <n v="24210"/>
    <n v="3631.5"/>
    <n v="20578.5"/>
    <n v="16140"/>
    <n v="4438.5"/>
    <d v="2014-04-01T00:00:00"/>
    <n v="4"/>
    <s v="April"/>
    <n v="2014"/>
  </r>
  <r>
    <x v="1"/>
    <x v="0"/>
    <x v="2"/>
    <x v="0"/>
    <n v="2559"/>
    <n v="10"/>
    <n v="15"/>
    <n v="38385"/>
    <n v="5757.75"/>
    <n v="32627.25"/>
    <n v="25590"/>
    <n v="7037.25"/>
    <d v="2014-08-01T00:00:00"/>
    <n v="8"/>
    <s v="August"/>
    <n v="2014"/>
  </r>
  <r>
    <x v="1"/>
    <x v="1"/>
    <x v="2"/>
    <x v="0"/>
    <n v="1175"/>
    <n v="10"/>
    <n v="15"/>
    <n v="17625"/>
    <n v="2643.75"/>
    <n v="14981.25"/>
    <n v="11750"/>
    <n v="3231.25"/>
    <d v="2014-10-01T00:00:00"/>
    <n v="10"/>
    <s v="October"/>
    <n v="2014"/>
  </r>
  <r>
    <x v="2"/>
    <x v="3"/>
    <x v="2"/>
    <x v="0"/>
    <n v="914"/>
    <n v="10"/>
    <n v="12"/>
    <n v="10968"/>
    <n v="1645.2"/>
    <n v="9322.7999999999993"/>
    <n v="2742"/>
    <n v="6580.8"/>
    <d v="2014-12-01T00:00:00"/>
    <n v="12"/>
    <s v="December"/>
    <n v="201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x v="0"/>
    <x v="0"/>
    <s v="High"/>
    <x v="0"/>
    <n v="3"/>
    <n v="20"/>
    <x v="0"/>
    <x v="0"/>
    <x v="0"/>
    <x v="0"/>
    <x v="0"/>
    <x v="0"/>
    <n v="1"/>
    <x v="0"/>
    <x v="0"/>
  </r>
  <r>
    <x v="0"/>
    <x v="1"/>
    <x v="0"/>
    <s v="High"/>
    <x v="1"/>
    <n v="3"/>
    <n v="20"/>
    <x v="1"/>
    <x v="0"/>
    <x v="1"/>
    <x v="1"/>
    <x v="1"/>
    <x v="0"/>
    <n v="1"/>
    <x v="0"/>
    <x v="0"/>
  </r>
  <r>
    <x v="0"/>
    <x v="2"/>
    <x v="1"/>
    <s v="High"/>
    <x v="2"/>
    <n v="5"/>
    <n v="20"/>
    <x v="2"/>
    <x v="0"/>
    <x v="2"/>
    <x v="2"/>
    <x v="2"/>
    <x v="1"/>
    <n v="6"/>
    <x v="1"/>
    <x v="0"/>
  </r>
  <r>
    <x v="0"/>
    <x v="0"/>
    <x v="2"/>
    <s v="High"/>
    <x v="3"/>
    <n v="10"/>
    <n v="20"/>
    <x v="3"/>
    <x v="0"/>
    <x v="3"/>
    <x v="3"/>
    <x v="3"/>
    <x v="2"/>
    <n v="2"/>
    <x v="2"/>
    <x v="0"/>
  </r>
  <r>
    <x v="0"/>
    <x v="0"/>
    <x v="2"/>
    <s v="High"/>
    <x v="4"/>
    <n v="10"/>
    <n v="20"/>
    <x v="4"/>
    <x v="0"/>
    <x v="4"/>
    <x v="4"/>
    <x v="4"/>
    <x v="3"/>
    <n v="12"/>
    <x v="3"/>
    <x v="0"/>
  </r>
  <r>
    <x v="0"/>
    <x v="0"/>
    <x v="3"/>
    <s v="High"/>
    <x v="4"/>
    <n v="250"/>
    <n v="20"/>
    <x v="4"/>
    <x v="0"/>
    <x v="4"/>
    <x v="4"/>
    <x v="4"/>
    <x v="3"/>
    <n v="12"/>
    <x v="3"/>
    <x v="0"/>
  </r>
  <r>
    <x v="0"/>
    <x v="2"/>
    <x v="4"/>
    <s v="High"/>
    <x v="2"/>
    <n v="260"/>
    <n v="20"/>
    <x v="2"/>
    <x v="0"/>
    <x v="2"/>
    <x v="2"/>
    <x v="2"/>
    <x v="1"/>
    <n v="6"/>
    <x v="1"/>
    <x v="0"/>
  </r>
  <r>
    <x v="0"/>
    <x v="2"/>
    <x v="1"/>
    <s v="Low"/>
    <x v="5"/>
    <n v="5"/>
    <n v="20"/>
    <x v="5"/>
    <x v="1"/>
    <x v="5"/>
    <x v="5"/>
    <x v="5"/>
    <x v="4"/>
    <n v="7"/>
    <x v="4"/>
    <x v="0"/>
  </r>
  <r>
    <x v="0"/>
    <x v="3"/>
    <x v="1"/>
    <s v="Low"/>
    <x v="6"/>
    <n v="5"/>
    <n v="20"/>
    <x v="6"/>
    <x v="2"/>
    <x v="6"/>
    <x v="6"/>
    <x v="6"/>
    <x v="5"/>
    <n v="10"/>
    <x v="5"/>
    <x v="0"/>
  </r>
  <r>
    <x v="0"/>
    <x v="3"/>
    <x v="5"/>
    <s v="Low"/>
    <x v="6"/>
    <n v="120"/>
    <n v="20"/>
    <x v="6"/>
    <x v="2"/>
    <x v="6"/>
    <x v="6"/>
    <x v="6"/>
    <x v="5"/>
    <n v="10"/>
    <x v="5"/>
    <x v="0"/>
  </r>
  <r>
    <x v="0"/>
    <x v="4"/>
    <x v="5"/>
    <s v="Low"/>
    <x v="7"/>
    <n v="120"/>
    <n v="20"/>
    <x v="7"/>
    <x v="3"/>
    <x v="7"/>
    <x v="7"/>
    <x v="7"/>
    <x v="6"/>
    <n v="12"/>
    <x v="3"/>
    <x v="1"/>
  </r>
  <r>
    <x v="0"/>
    <x v="3"/>
    <x v="4"/>
    <s v="Low"/>
    <x v="8"/>
    <n v="260"/>
    <n v="20"/>
    <x v="8"/>
    <x v="4"/>
    <x v="8"/>
    <x v="8"/>
    <x v="8"/>
    <x v="7"/>
    <n v="11"/>
    <x v="6"/>
    <x v="0"/>
  </r>
  <r>
    <x v="0"/>
    <x v="2"/>
    <x v="4"/>
    <s v="Low"/>
    <x v="9"/>
    <n v="260"/>
    <n v="20"/>
    <x v="9"/>
    <x v="5"/>
    <x v="9"/>
    <x v="9"/>
    <x v="9"/>
    <x v="7"/>
    <n v="11"/>
    <x v="6"/>
    <x v="0"/>
  </r>
  <r>
    <x v="0"/>
    <x v="1"/>
    <x v="0"/>
    <s v="Low"/>
    <x v="10"/>
    <n v="3"/>
    <n v="20"/>
    <x v="10"/>
    <x v="6"/>
    <x v="10"/>
    <x v="10"/>
    <x v="10"/>
    <x v="8"/>
    <n v="4"/>
    <x v="7"/>
    <x v="0"/>
  </r>
  <r>
    <x v="0"/>
    <x v="0"/>
    <x v="0"/>
    <s v="Low"/>
    <x v="11"/>
    <n v="3"/>
    <n v="20"/>
    <x v="11"/>
    <x v="7"/>
    <x v="11"/>
    <x v="11"/>
    <x v="11"/>
    <x v="9"/>
    <n v="5"/>
    <x v="8"/>
    <x v="0"/>
  </r>
  <r>
    <x v="0"/>
    <x v="3"/>
    <x v="5"/>
    <s v="Low"/>
    <x v="12"/>
    <n v="120"/>
    <n v="20"/>
    <x v="12"/>
    <x v="8"/>
    <x v="12"/>
    <x v="12"/>
    <x v="12"/>
    <x v="10"/>
    <n v="9"/>
    <x v="9"/>
    <x v="1"/>
  </r>
  <r>
    <x v="0"/>
    <x v="0"/>
    <x v="2"/>
    <s v="Low"/>
    <x v="13"/>
    <n v="10"/>
    <n v="20"/>
    <x v="13"/>
    <x v="9"/>
    <x v="13"/>
    <x v="13"/>
    <x v="13"/>
    <x v="11"/>
    <n v="9"/>
    <x v="9"/>
    <x v="0"/>
  </r>
  <r>
    <x v="0"/>
    <x v="3"/>
    <x v="2"/>
    <s v="Low"/>
    <x v="14"/>
    <n v="10"/>
    <n v="20"/>
    <x v="14"/>
    <x v="10"/>
    <x v="14"/>
    <x v="14"/>
    <x v="14"/>
    <x v="11"/>
    <n v="9"/>
    <x v="9"/>
    <x v="0"/>
  </r>
  <r>
    <x v="0"/>
    <x v="0"/>
    <x v="5"/>
    <s v="Low"/>
    <x v="15"/>
    <n v="120"/>
    <n v="20"/>
    <x v="15"/>
    <x v="11"/>
    <x v="15"/>
    <x v="15"/>
    <x v="15"/>
    <x v="10"/>
    <n v="9"/>
    <x v="9"/>
    <x v="1"/>
  </r>
  <r>
    <x v="0"/>
    <x v="2"/>
    <x v="0"/>
    <s v="Medium"/>
    <x v="16"/>
    <n v="3"/>
    <n v="20"/>
    <x v="16"/>
    <x v="12"/>
    <x v="16"/>
    <x v="16"/>
    <x v="16"/>
    <x v="9"/>
    <n v="5"/>
    <x v="8"/>
    <x v="0"/>
  </r>
  <r>
    <x v="0"/>
    <x v="2"/>
    <x v="2"/>
    <s v="Medium"/>
    <x v="17"/>
    <n v="10"/>
    <n v="20"/>
    <x v="17"/>
    <x v="13"/>
    <x v="17"/>
    <x v="17"/>
    <x v="17"/>
    <x v="2"/>
    <n v="2"/>
    <x v="2"/>
    <x v="0"/>
  </r>
  <r>
    <x v="0"/>
    <x v="0"/>
    <x v="2"/>
    <s v="Medium"/>
    <x v="18"/>
    <n v="10"/>
    <n v="20"/>
    <x v="18"/>
    <x v="14"/>
    <x v="18"/>
    <x v="18"/>
    <x v="18"/>
    <x v="12"/>
    <n v="10"/>
    <x v="5"/>
    <x v="1"/>
  </r>
  <r>
    <x v="0"/>
    <x v="0"/>
    <x v="2"/>
    <s v="Medium"/>
    <x v="19"/>
    <n v="10"/>
    <n v="20"/>
    <x v="19"/>
    <x v="15"/>
    <x v="19"/>
    <x v="19"/>
    <x v="19"/>
    <x v="6"/>
    <n v="12"/>
    <x v="3"/>
    <x v="1"/>
  </r>
  <r>
    <x v="0"/>
    <x v="3"/>
    <x v="2"/>
    <s v="Medium"/>
    <x v="20"/>
    <n v="10"/>
    <n v="20"/>
    <x v="20"/>
    <x v="16"/>
    <x v="20"/>
    <x v="20"/>
    <x v="20"/>
    <x v="3"/>
    <n v="12"/>
    <x v="3"/>
    <x v="0"/>
  </r>
  <r>
    <x v="0"/>
    <x v="3"/>
    <x v="5"/>
    <s v="Medium"/>
    <x v="21"/>
    <n v="120"/>
    <n v="20"/>
    <x v="21"/>
    <x v="17"/>
    <x v="21"/>
    <x v="21"/>
    <x v="21"/>
    <x v="13"/>
    <n v="8"/>
    <x v="10"/>
    <x v="0"/>
  </r>
  <r>
    <x v="0"/>
    <x v="2"/>
    <x v="5"/>
    <s v="Medium"/>
    <x v="22"/>
    <n v="120"/>
    <n v="20"/>
    <x v="22"/>
    <x v="18"/>
    <x v="22"/>
    <x v="22"/>
    <x v="22"/>
    <x v="13"/>
    <n v="8"/>
    <x v="10"/>
    <x v="0"/>
  </r>
  <r>
    <x v="0"/>
    <x v="2"/>
    <x v="5"/>
    <s v="Medium"/>
    <x v="23"/>
    <n v="120"/>
    <n v="20"/>
    <x v="23"/>
    <x v="19"/>
    <x v="23"/>
    <x v="23"/>
    <x v="23"/>
    <x v="6"/>
    <n v="12"/>
    <x v="3"/>
    <x v="1"/>
  </r>
  <r>
    <x v="0"/>
    <x v="0"/>
    <x v="3"/>
    <s v="Medium"/>
    <x v="18"/>
    <n v="250"/>
    <n v="20"/>
    <x v="18"/>
    <x v="14"/>
    <x v="18"/>
    <x v="18"/>
    <x v="18"/>
    <x v="12"/>
    <n v="10"/>
    <x v="5"/>
    <x v="1"/>
  </r>
  <r>
    <x v="0"/>
    <x v="3"/>
    <x v="3"/>
    <s v="Medium"/>
    <x v="24"/>
    <n v="250"/>
    <n v="20"/>
    <x v="24"/>
    <x v="20"/>
    <x v="24"/>
    <x v="24"/>
    <x v="24"/>
    <x v="14"/>
    <n v="11"/>
    <x v="6"/>
    <x v="1"/>
  </r>
  <r>
    <x v="0"/>
    <x v="1"/>
    <x v="3"/>
    <s v="Medium"/>
    <x v="25"/>
    <n v="250"/>
    <n v="20"/>
    <x v="25"/>
    <x v="21"/>
    <x v="25"/>
    <x v="25"/>
    <x v="25"/>
    <x v="14"/>
    <n v="11"/>
    <x v="6"/>
    <x v="1"/>
  </r>
  <r>
    <x v="0"/>
    <x v="3"/>
    <x v="3"/>
    <s v="Medium"/>
    <x v="20"/>
    <n v="250"/>
    <n v="20"/>
    <x v="20"/>
    <x v="16"/>
    <x v="20"/>
    <x v="20"/>
    <x v="20"/>
    <x v="3"/>
    <n v="12"/>
    <x v="3"/>
    <x v="0"/>
  </r>
  <r>
    <x v="0"/>
    <x v="3"/>
    <x v="0"/>
    <s v="Medium"/>
    <x v="26"/>
    <n v="3"/>
    <n v="20"/>
    <x v="26"/>
    <x v="22"/>
    <x v="26"/>
    <x v="26"/>
    <x v="26"/>
    <x v="0"/>
    <n v="1"/>
    <x v="0"/>
    <x v="0"/>
  </r>
  <r>
    <x v="0"/>
    <x v="4"/>
    <x v="3"/>
    <s v="Medium"/>
    <x v="27"/>
    <n v="250"/>
    <n v="20"/>
    <x v="27"/>
    <x v="23"/>
    <x v="27"/>
    <x v="27"/>
    <x v="27"/>
    <x v="14"/>
    <n v="11"/>
    <x v="6"/>
    <x v="1"/>
  </r>
  <r>
    <x v="0"/>
    <x v="2"/>
    <x v="1"/>
    <s v="Medium"/>
    <x v="28"/>
    <n v="5"/>
    <n v="20"/>
    <x v="28"/>
    <x v="24"/>
    <x v="28"/>
    <x v="28"/>
    <x v="28"/>
    <x v="12"/>
    <n v="10"/>
    <x v="5"/>
    <x v="1"/>
  </r>
  <r>
    <x v="0"/>
    <x v="2"/>
    <x v="2"/>
    <s v="Medium"/>
    <x v="28"/>
    <n v="10"/>
    <n v="20"/>
    <x v="28"/>
    <x v="24"/>
    <x v="28"/>
    <x v="28"/>
    <x v="28"/>
    <x v="12"/>
    <n v="10"/>
    <x v="5"/>
    <x v="1"/>
  </r>
  <r>
    <x v="0"/>
    <x v="1"/>
    <x v="5"/>
    <s v="Medium"/>
    <x v="29"/>
    <n v="120"/>
    <n v="20"/>
    <x v="29"/>
    <x v="25"/>
    <x v="29"/>
    <x v="29"/>
    <x v="29"/>
    <x v="13"/>
    <n v="8"/>
    <x v="10"/>
    <x v="0"/>
  </r>
  <r>
    <x v="0"/>
    <x v="4"/>
    <x v="0"/>
    <s v="Medium"/>
    <x v="30"/>
    <n v="3"/>
    <n v="20"/>
    <x v="30"/>
    <x v="26"/>
    <x v="30"/>
    <x v="30"/>
    <x v="30"/>
    <x v="10"/>
    <n v="9"/>
    <x v="9"/>
    <x v="1"/>
  </r>
  <r>
    <x v="0"/>
    <x v="2"/>
    <x v="1"/>
    <s v="Medium"/>
    <x v="31"/>
    <n v="5"/>
    <n v="20"/>
    <x v="31"/>
    <x v="27"/>
    <x v="31"/>
    <x v="31"/>
    <x v="31"/>
    <x v="5"/>
    <n v="10"/>
    <x v="5"/>
    <x v="0"/>
  </r>
  <r>
    <x v="0"/>
    <x v="2"/>
    <x v="2"/>
    <s v="Medium"/>
    <x v="32"/>
    <n v="10"/>
    <n v="20"/>
    <x v="32"/>
    <x v="28"/>
    <x v="32"/>
    <x v="32"/>
    <x v="32"/>
    <x v="11"/>
    <n v="9"/>
    <x v="9"/>
    <x v="0"/>
  </r>
  <r>
    <x v="0"/>
    <x v="4"/>
    <x v="5"/>
    <s v="Medium"/>
    <x v="33"/>
    <n v="120"/>
    <n v="20"/>
    <x v="33"/>
    <x v="29"/>
    <x v="33"/>
    <x v="33"/>
    <x v="33"/>
    <x v="13"/>
    <n v="8"/>
    <x v="10"/>
    <x v="0"/>
  </r>
  <r>
    <x v="0"/>
    <x v="2"/>
    <x v="5"/>
    <s v="Medium"/>
    <x v="31"/>
    <n v="120"/>
    <n v="20"/>
    <x v="31"/>
    <x v="27"/>
    <x v="31"/>
    <x v="31"/>
    <x v="31"/>
    <x v="5"/>
    <n v="10"/>
    <x v="5"/>
    <x v="0"/>
  </r>
  <r>
    <x v="0"/>
    <x v="3"/>
    <x v="5"/>
    <s v="Medium"/>
    <x v="34"/>
    <n v="120"/>
    <n v="20"/>
    <x v="34"/>
    <x v="30"/>
    <x v="34"/>
    <x v="34"/>
    <x v="34"/>
    <x v="6"/>
    <n v="12"/>
    <x v="3"/>
    <x v="1"/>
  </r>
  <r>
    <x v="0"/>
    <x v="1"/>
    <x v="5"/>
    <s v="Medium"/>
    <x v="35"/>
    <n v="120"/>
    <n v="20"/>
    <x v="35"/>
    <x v="31"/>
    <x v="35"/>
    <x v="35"/>
    <x v="35"/>
    <x v="6"/>
    <n v="12"/>
    <x v="3"/>
    <x v="1"/>
  </r>
  <r>
    <x v="0"/>
    <x v="0"/>
    <x v="4"/>
    <s v="Medium"/>
    <x v="36"/>
    <n v="260"/>
    <n v="20"/>
    <x v="36"/>
    <x v="32"/>
    <x v="36"/>
    <x v="36"/>
    <x v="36"/>
    <x v="7"/>
    <n v="11"/>
    <x v="6"/>
    <x v="0"/>
  </r>
  <r>
    <x v="0"/>
    <x v="3"/>
    <x v="1"/>
    <s v="Medium"/>
    <x v="37"/>
    <n v="5"/>
    <n v="20"/>
    <x v="37"/>
    <x v="33"/>
    <x v="37"/>
    <x v="37"/>
    <x v="37"/>
    <x v="1"/>
    <n v="6"/>
    <x v="1"/>
    <x v="0"/>
  </r>
  <r>
    <x v="0"/>
    <x v="3"/>
    <x v="4"/>
    <s v="Medium"/>
    <x v="37"/>
    <n v="260"/>
    <n v="20"/>
    <x v="37"/>
    <x v="33"/>
    <x v="37"/>
    <x v="37"/>
    <x v="37"/>
    <x v="1"/>
    <n v="6"/>
    <x v="1"/>
    <x v="0"/>
  </r>
  <r>
    <x v="0"/>
    <x v="0"/>
    <x v="1"/>
    <s v="Medium"/>
    <x v="38"/>
    <n v="5"/>
    <n v="20"/>
    <x v="38"/>
    <x v="34"/>
    <x v="38"/>
    <x v="38"/>
    <x v="38"/>
    <x v="1"/>
    <n v="6"/>
    <x v="1"/>
    <x v="0"/>
  </r>
  <r>
    <x v="0"/>
    <x v="1"/>
    <x v="1"/>
    <s v="Medium"/>
    <x v="39"/>
    <n v="5"/>
    <n v="20"/>
    <x v="39"/>
    <x v="35"/>
    <x v="39"/>
    <x v="39"/>
    <x v="39"/>
    <x v="4"/>
    <n v="7"/>
    <x v="4"/>
    <x v="0"/>
  </r>
  <r>
    <x v="0"/>
    <x v="1"/>
    <x v="2"/>
    <s v="Medium"/>
    <x v="40"/>
    <n v="10"/>
    <n v="20"/>
    <x v="40"/>
    <x v="36"/>
    <x v="40"/>
    <x v="40"/>
    <x v="40"/>
    <x v="1"/>
    <n v="6"/>
    <x v="1"/>
    <x v="0"/>
  </r>
  <r>
    <x v="0"/>
    <x v="1"/>
    <x v="2"/>
    <s v="Medium"/>
    <x v="41"/>
    <n v="10"/>
    <n v="20"/>
    <x v="41"/>
    <x v="37"/>
    <x v="41"/>
    <x v="41"/>
    <x v="41"/>
    <x v="11"/>
    <n v="9"/>
    <x v="9"/>
    <x v="0"/>
  </r>
  <r>
    <x v="0"/>
    <x v="4"/>
    <x v="2"/>
    <s v="Medium"/>
    <x v="42"/>
    <n v="10"/>
    <n v="20"/>
    <x v="42"/>
    <x v="38"/>
    <x v="42"/>
    <x v="42"/>
    <x v="42"/>
    <x v="11"/>
    <n v="9"/>
    <x v="9"/>
    <x v="0"/>
  </r>
  <r>
    <x v="0"/>
    <x v="0"/>
    <x v="4"/>
    <s v="Medium"/>
    <x v="38"/>
    <n v="260"/>
    <n v="20"/>
    <x v="38"/>
    <x v="34"/>
    <x v="38"/>
    <x v="38"/>
    <x v="38"/>
    <x v="1"/>
    <n v="6"/>
    <x v="1"/>
    <x v="0"/>
  </r>
  <r>
    <x v="0"/>
    <x v="1"/>
    <x v="4"/>
    <s v="Medium"/>
    <x v="40"/>
    <n v="260"/>
    <n v="20"/>
    <x v="40"/>
    <x v="36"/>
    <x v="40"/>
    <x v="40"/>
    <x v="40"/>
    <x v="1"/>
    <n v="6"/>
    <x v="1"/>
    <x v="0"/>
  </r>
  <r>
    <x v="0"/>
    <x v="1"/>
    <x v="4"/>
    <s v="Medium"/>
    <x v="43"/>
    <n v="260"/>
    <n v="20"/>
    <x v="43"/>
    <x v="39"/>
    <x v="43"/>
    <x v="43"/>
    <x v="43"/>
    <x v="7"/>
    <n v="11"/>
    <x v="6"/>
    <x v="0"/>
  </r>
  <r>
    <x v="0"/>
    <x v="3"/>
    <x v="3"/>
    <s v="Medium"/>
    <x v="44"/>
    <n v="250"/>
    <n v="20"/>
    <x v="44"/>
    <x v="40"/>
    <x v="44"/>
    <x v="44"/>
    <x v="44"/>
    <x v="4"/>
    <n v="7"/>
    <x v="4"/>
    <x v="0"/>
  </r>
  <r>
    <x v="0"/>
    <x v="4"/>
    <x v="4"/>
    <s v="Medium"/>
    <x v="45"/>
    <n v="260"/>
    <n v="20"/>
    <x v="45"/>
    <x v="41"/>
    <x v="45"/>
    <x v="45"/>
    <x v="45"/>
    <x v="7"/>
    <n v="11"/>
    <x v="6"/>
    <x v="0"/>
  </r>
  <r>
    <x v="0"/>
    <x v="1"/>
    <x v="0"/>
    <s v="Medium"/>
    <x v="46"/>
    <n v="3"/>
    <n v="20"/>
    <x v="46"/>
    <x v="42"/>
    <x v="46"/>
    <x v="46"/>
    <x v="46"/>
    <x v="9"/>
    <n v="5"/>
    <x v="8"/>
    <x v="0"/>
  </r>
  <r>
    <x v="0"/>
    <x v="3"/>
    <x v="2"/>
    <s v="Medium"/>
    <x v="47"/>
    <n v="10"/>
    <n v="20"/>
    <x v="47"/>
    <x v="43"/>
    <x v="47"/>
    <x v="47"/>
    <x v="47"/>
    <x v="15"/>
    <n v="3"/>
    <x v="11"/>
    <x v="0"/>
  </r>
  <r>
    <x v="0"/>
    <x v="4"/>
    <x v="2"/>
    <s v="Medium"/>
    <x v="48"/>
    <n v="10"/>
    <n v="20"/>
    <x v="48"/>
    <x v="44"/>
    <x v="48"/>
    <x v="48"/>
    <x v="48"/>
    <x v="1"/>
    <n v="6"/>
    <x v="1"/>
    <x v="0"/>
  </r>
  <r>
    <x v="0"/>
    <x v="2"/>
    <x v="3"/>
    <s v="Medium"/>
    <x v="49"/>
    <n v="250"/>
    <n v="20"/>
    <x v="49"/>
    <x v="45"/>
    <x v="49"/>
    <x v="49"/>
    <x v="49"/>
    <x v="14"/>
    <n v="11"/>
    <x v="6"/>
    <x v="1"/>
  </r>
  <r>
    <x v="0"/>
    <x v="4"/>
    <x v="4"/>
    <s v="Medium"/>
    <x v="48"/>
    <n v="260"/>
    <n v="20"/>
    <x v="48"/>
    <x v="44"/>
    <x v="48"/>
    <x v="48"/>
    <x v="48"/>
    <x v="1"/>
    <n v="6"/>
    <x v="1"/>
    <x v="0"/>
  </r>
  <r>
    <x v="0"/>
    <x v="2"/>
    <x v="2"/>
    <s v="High"/>
    <x v="50"/>
    <n v="10"/>
    <n v="20"/>
    <x v="50"/>
    <x v="46"/>
    <x v="50"/>
    <x v="50"/>
    <x v="50"/>
    <x v="15"/>
    <n v="3"/>
    <x v="11"/>
    <x v="0"/>
  </r>
  <r>
    <x v="0"/>
    <x v="1"/>
    <x v="2"/>
    <s v="High"/>
    <x v="51"/>
    <n v="10"/>
    <n v="20"/>
    <x v="51"/>
    <x v="47"/>
    <x v="51"/>
    <x v="51"/>
    <x v="51"/>
    <x v="5"/>
    <n v="10"/>
    <x v="5"/>
    <x v="0"/>
  </r>
  <r>
    <x v="0"/>
    <x v="1"/>
    <x v="5"/>
    <s v="High"/>
    <x v="51"/>
    <n v="120"/>
    <n v="20"/>
    <x v="51"/>
    <x v="47"/>
    <x v="51"/>
    <x v="51"/>
    <x v="51"/>
    <x v="5"/>
    <n v="10"/>
    <x v="5"/>
    <x v="0"/>
  </r>
  <r>
    <x v="0"/>
    <x v="4"/>
    <x v="4"/>
    <s v="High"/>
    <x v="52"/>
    <n v="260"/>
    <n v="20"/>
    <x v="52"/>
    <x v="48"/>
    <x v="52"/>
    <x v="52"/>
    <x v="52"/>
    <x v="9"/>
    <n v="5"/>
    <x v="8"/>
    <x v="0"/>
  </r>
  <r>
    <x v="0"/>
    <x v="1"/>
    <x v="1"/>
    <s v="High"/>
    <x v="53"/>
    <n v="5"/>
    <n v="20"/>
    <x v="53"/>
    <x v="49"/>
    <x v="53"/>
    <x v="53"/>
    <x v="53"/>
    <x v="12"/>
    <n v="10"/>
    <x v="5"/>
    <x v="1"/>
  </r>
  <r>
    <x v="0"/>
    <x v="4"/>
    <x v="2"/>
    <s v="High"/>
    <x v="54"/>
    <n v="10"/>
    <n v="20"/>
    <x v="54"/>
    <x v="50"/>
    <x v="54"/>
    <x v="54"/>
    <x v="54"/>
    <x v="15"/>
    <n v="3"/>
    <x v="11"/>
    <x v="0"/>
  </r>
  <r>
    <x v="0"/>
    <x v="0"/>
    <x v="2"/>
    <s v="High"/>
    <x v="55"/>
    <n v="10"/>
    <n v="20"/>
    <x v="55"/>
    <x v="51"/>
    <x v="55"/>
    <x v="55"/>
    <x v="55"/>
    <x v="13"/>
    <n v="8"/>
    <x v="10"/>
    <x v="0"/>
  </r>
  <r>
    <x v="0"/>
    <x v="1"/>
    <x v="2"/>
    <s v="High"/>
    <x v="53"/>
    <n v="10"/>
    <n v="20"/>
    <x v="53"/>
    <x v="49"/>
    <x v="53"/>
    <x v="53"/>
    <x v="53"/>
    <x v="12"/>
    <n v="10"/>
    <x v="5"/>
    <x v="1"/>
  </r>
  <r>
    <x v="0"/>
    <x v="2"/>
    <x v="5"/>
    <s v="High"/>
    <x v="56"/>
    <n v="120"/>
    <n v="20"/>
    <x v="56"/>
    <x v="52"/>
    <x v="56"/>
    <x v="56"/>
    <x v="56"/>
    <x v="10"/>
    <n v="9"/>
    <x v="9"/>
    <x v="1"/>
  </r>
  <r>
    <x v="0"/>
    <x v="0"/>
    <x v="3"/>
    <s v="High"/>
    <x v="57"/>
    <n v="250"/>
    <n v="20"/>
    <x v="57"/>
    <x v="53"/>
    <x v="57"/>
    <x v="57"/>
    <x v="57"/>
    <x v="14"/>
    <n v="11"/>
    <x v="6"/>
    <x v="1"/>
  </r>
  <r>
    <x v="0"/>
    <x v="4"/>
    <x v="4"/>
    <s v="High"/>
    <x v="58"/>
    <n v="260"/>
    <n v="20"/>
    <x v="58"/>
    <x v="54"/>
    <x v="58"/>
    <x v="58"/>
    <x v="58"/>
    <x v="0"/>
    <n v="1"/>
    <x v="0"/>
    <x v="0"/>
  </r>
  <r>
    <x v="0"/>
    <x v="4"/>
    <x v="1"/>
    <s v="High"/>
    <x v="59"/>
    <n v="5"/>
    <n v="20"/>
    <x v="59"/>
    <x v="55"/>
    <x v="59"/>
    <x v="59"/>
    <x v="59"/>
    <x v="12"/>
    <n v="10"/>
    <x v="5"/>
    <x v="1"/>
  </r>
  <r>
    <x v="0"/>
    <x v="4"/>
    <x v="2"/>
    <s v="High"/>
    <x v="60"/>
    <n v="10"/>
    <n v="20"/>
    <x v="60"/>
    <x v="56"/>
    <x v="60"/>
    <x v="60"/>
    <x v="60"/>
    <x v="5"/>
    <n v="10"/>
    <x v="5"/>
    <x v="0"/>
  </r>
  <r>
    <x v="0"/>
    <x v="4"/>
    <x v="2"/>
    <s v="High"/>
    <x v="59"/>
    <n v="10"/>
    <n v="20"/>
    <x v="59"/>
    <x v="55"/>
    <x v="59"/>
    <x v="59"/>
    <x v="59"/>
    <x v="12"/>
    <n v="10"/>
    <x v="5"/>
    <x v="1"/>
  </r>
  <r>
    <x v="0"/>
    <x v="4"/>
    <x v="2"/>
    <s v="High"/>
    <x v="61"/>
    <n v="10"/>
    <n v="20"/>
    <x v="61"/>
    <x v="57"/>
    <x v="61"/>
    <x v="61"/>
    <x v="61"/>
    <x v="3"/>
    <n v="12"/>
    <x v="3"/>
    <x v="0"/>
  </r>
  <r>
    <x v="0"/>
    <x v="4"/>
    <x v="5"/>
    <s v="High"/>
    <x v="60"/>
    <n v="120"/>
    <n v="20"/>
    <x v="60"/>
    <x v="56"/>
    <x v="60"/>
    <x v="60"/>
    <x v="60"/>
    <x v="5"/>
    <n v="10"/>
    <x v="5"/>
    <x v="0"/>
  </r>
  <r>
    <x v="0"/>
    <x v="4"/>
    <x v="3"/>
    <s v="High"/>
    <x v="61"/>
    <n v="250"/>
    <n v="20"/>
    <x v="61"/>
    <x v="57"/>
    <x v="61"/>
    <x v="61"/>
    <x v="61"/>
    <x v="3"/>
    <n v="12"/>
    <x v="3"/>
    <x v="0"/>
  </r>
  <r>
    <x v="0"/>
    <x v="2"/>
    <x v="0"/>
    <s v="High"/>
    <x v="62"/>
    <n v="3"/>
    <n v="20"/>
    <x v="62"/>
    <x v="58"/>
    <x v="62"/>
    <x v="62"/>
    <x v="62"/>
    <x v="0"/>
    <n v="1"/>
    <x v="0"/>
    <x v="0"/>
  </r>
  <r>
    <x v="0"/>
    <x v="1"/>
    <x v="2"/>
    <s v="High"/>
    <x v="63"/>
    <n v="10"/>
    <n v="20"/>
    <x v="63"/>
    <x v="59"/>
    <x v="63"/>
    <x v="63"/>
    <x v="63"/>
    <x v="3"/>
    <n v="12"/>
    <x v="3"/>
    <x v="0"/>
  </r>
  <r>
    <x v="0"/>
    <x v="1"/>
    <x v="3"/>
    <s v="High"/>
    <x v="63"/>
    <n v="250"/>
    <n v="20"/>
    <x v="63"/>
    <x v="59"/>
    <x v="63"/>
    <x v="63"/>
    <x v="63"/>
    <x v="3"/>
    <n v="12"/>
    <x v="3"/>
    <x v="0"/>
  </r>
  <r>
    <x v="0"/>
    <x v="1"/>
    <x v="0"/>
    <s v="High"/>
    <x v="64"/>
    <n v="3"/>
    <n v="20"/>
    <x v="64"/>
    <x v="60"/>
    <x v="64"/>
    <x v="64"/>
    <x v="64"/>
    <x v="10"/>
    <n v="9"/>
    <x v="9"/>
    <x v="1"/>
  </r>
  <r>
    <x v="0"/>
    <x v="4"/>
    <x v="1"/>
    <s v="High"/>
    <x v="65"/>
    <n v="5"/>
    <n v="20"/>
    <x v="65"/>
    <x v="61"/>
    <x v="65"/>
    <x v="65"/>
    <x v="65"/>
    <x v="4"/>
    <n v="7"/>
    <x v="4"/>
    <x v="0"/>
  </r>
  <r>
    <x v="0"/>
    <x v="0"/>
    <x v="1"/>
    <s v="High"/>
    <x v="66"/>
    <n v="5"/>
    <n v="20"/>
    <x v="66"/>
    <x v="62"/>
    <x v="66"/>
    <x v="66"/>
    <x v="66"/>
    <x v="5"/>
    <n v="10"/>
    <x v="5"/>
    <x v="0"/>
  </r>
  <r>
    <x v="0"/>
    <x v="3"/>
    <x v="2"/>
    <s v="High"/>
    <x v="67"/>
    <n v="10"/>
    <n v="20"/>
    <x v="67"/>
    <x v="63"/>
    <x v="67"/>
    <x v="67"/>
    <x v="67"/>
    <x v="2"/>
    <n v="2"/>
    <x v="2"/>
    <x v="0"/>
  </r>
  <r>
    <x v="0"/>
    <x v="1"/>
    <x v="2"/>
    <s v="High"/>
    <x v="68"/>
    <n v="10"/>
    <n v="20"/>
    <x v="68"/>
    <x v="64"/>
    <x v="68"/>
    <x v="68"/>
    <x v="68"/>
    <x v="2"/>
    <n v="2"/>
    <x v="2"/>
    <x v="0"/>
  </r>
  <r>
    <x v="0"/>
    <x v="0"/>
    <x v="2"/>
    <s v="High"/>
    <x v="66"/>
    <n v="10"/>
    <n v="20"/>
    <x v="66"/>
    <x v="62"/>
    <x v="66"/>
    <x v="66"/>
    <x v="66"/>
    <x v="5"/>
    <n v="10"/>
    <x v="5"/>
    <x v="0"/>
  </r>
  <r>
    <x v="0"/>
    <x v="4"/>
    <x v="0"/>
    <s v="High"/>
    <x v="69"/>
    <n v="3"/>
    <n v="20"/>
    <x v="69"/>
    <x v="65"/>
    <x v="69"/>
    <x v="69"/>
    <x v="69"/>
    <x v="8"/>
    <n v="4"/>
    <x v="7"/>
    <x v="0"/>
  </r>
  <r>
    <x v="0"/>
    <x v="3"/>
    <x v="0"/>
    <s v="High"/>
    <x v="70"/>
    <n v="3"/>
    <n v="20"/>
    <x v="70"/>
    <x v="66"/>
    <x v="70"/>
    <x v="70"/>
    <x v="70"/>
    <x v="9"/>
    <n v="5"/>
    <x v="8"/>
    <x v="0"/>
  </r>
  <r>
    <x v="0"/>
    <x v="0"/>
    <x v="2"/>
    <s v="High"/>
    <x v="71"/>
    <n v="10"/>
    <n v="20"/>
    <x v="71"/>
    <x v="67"/>
    <x v="71"/>
    <x v="71"/>
    <x v="71"/>
    <x v="15"/>
    <n v="3"/>
    <x v="11"/>
    <x v="0"/>
  </r>
  <r>
    <x v="0"/>
    <x v="4"/>
    <x v="2"/>
    <s v="High"/>
    <x v="72"/>
    <n v="10"/>
    <n v="20"/>
    <x v="72"/>
    <x v="68"/>
    <x v="72"/>
    <x v="72"/>
    <x v="72"/>
    <x v="2"/>
    <n v="2"/>
    <x v="2"/>
    <x v="0"/>
  </r>
  <r>
    <x v="0"/>
    <x v="3"/>
    <x v="5"/>
    <s v="High"/>
    <x v="73"/>
    <n v="120"/>
    <n v="20"/>
    <x v="73"/>
    <x v="69"/>
    <x v="73"/>
    <x v="73"/>
    <x v="73"/>
    <x v="8"/>
    <n v="4"/>
    <x v="7"/>
    <x v="0"/>
  </r>
  <r>
    <x v="0"/>
    <x v="1"/>
    <x v="2"/>
    <s v="High"/>
    <x v="74"/>
    <n v="10"/>
    <n v="20"/>
    <x v="74"/>
    <x v="70"/>
    <x v="74"/>
    <x v="74"/>
    <x v="74"/>
    <x v="15"/>
    <n v="3"/>
    <x v="11"/>
    <x v="0"/>
  </r>
  <r>
    <x v="0"/>
    <x v="3"/>
    <x v="2"/>
    <s v="High"/>
    <x v="75"/>
    <n v="10"/>
    <n v="20"/>
    <x v="75"/>
    <x v="71"/>
    <x v="75"/>
    <x v="75"/>
    <x v="75"/>
    <x v="12"/>
    <n v="10"/>
    <x v="5"/>
    <x v="1"/>
  </r>
  <r>
    <x v="0"/>
    <x v="2"/>
    <x v="2"/>
    <s v="High"/>
    <x v="76"/>
    <n v="10"/>
    <n v="20"/>
    <x v="76"/>
    <x v="72"/>
    <x v="76"/>
    <x v="76"/>
    <x v="76"/>
    <x v="3"/>
    <n v="12"/>
    <x v="3"/>
    <x v="0"/>
  </r>
  <r>
    <x v="0"/>
    <x v="0"/>
    <x v="3"/>
    <s v="High"/>
    <x v="77"/>
    <n v="250"/>
    <n v="20"/>
    <x v="77"/>
    <x v="73"/>
    <x v="77"/>
    <x v="77"/>
    <x v="77"/>
    <x v="4"/>
    <n v="7"/>
    <x v="4"/>
    <x v="0"/>
  </r>
  <r>
    <x v="0"/>
    <x v="3"/>
    <x v="3"/>
    <s v="High"/>
    <x v="75"/>
    <n v="250"/>
    <n v="20"/>
    <x v="75"/>
    <x v="71"/>
    <x v="75"/>
    <x v="75"/>
    <x v="75"/>
    <x v="12"/>
    <n v="10"/>
    <x v="5"/>
    <x v="1"/>
  </r>
  <r>
    <x v="0"/>
    <x v="2"/>
    <x v="3"/>
    <s v="High"/>
    <x v="76"/>
    <n v="250"/>
    <n v="20"/>
    <x v="76"/>
    <x v="72"/>
    <x v="76"/>
    <x v="76"/>
    <x v="76"/>
    <x v="3"/>
    <n v="12"/>
    <x v="3"/>
    <x v="0"/>
  </r>
  <r>
    <x v="0"/>
    <x v="1"/>
    <x v="1"/>
    <s v="High"/>
    <x v="78"/>
    <n v="5"/>
    <n v="7"/>
    <x v="78"/>
    <x v="0"/>
    <x v="78"/>
    <x v="78"/>
    <x v="78"/>
    <x v="11"/>
    <n v="9"/>
    <x v="9"/>
    <x v="0"/>
  </r>
  <r>
    <x v="0"/>
    <x v="4"/>
    <x v="2"/>
    <s v="High"/>
    <x v="79"/>
    <n v="10"/>
    <n v="7"/>
    <x v="79"/>
    <x v="0"/>
    <x v="79"/>
    <x v="79"/>
    <x v="79"/>
    <x v="13"/>
    <n v="8"/>
    <x v="10"/>
    <x v="0"/>
  </r>
  <r>
    <x v="0"/>
    <x v="3"/>
    <x v="2"/>
    <s v="High"/>
    <x v="80"/>
    <n v="10"/>
    <n v="7"/>
    <x v="80"/>
    <x v="0"/>
    <x v="80"/>
    <x v="80"/>
    <x v="80"/>
    <x v="5"/>
    <n v="10"/>
    <x v="5"/>
    <x v="0"/>
  </r>
  <r>
    <x v="0"/>
    <x v="4"/>
    <x v="5"/>
    <s v="High"/>
    <x v="81"/>
    <n v="120"/>
    <n v="7"/>
    <x v="81"/>
    <x v="0"/>
    <x v="81"/>
    <x v="81"/>
    <x v="81"/>
    <x v="0"/>
    <n v="1"/>
    <x v="0"/>
    <x v="0"/>
  </r>
  <r>
    <x v="0"/>
    <x v="1"/>
    <x v="4"/>
    <s v="High"/>
    <x v="82"/>
    <n v="260"/>
    <n v="7"/>
    <x v="82"/>
    <x v="0"/>
    <x v="82"/>
    <x v="82"/>
    <x v="82"/>
    <x v="4"/>
    <n v="7"/>
    <x v="4"/>
    <x v="0"/>
  </r>
  <r>
    <x v="0"/>
    <x v="3"/>
    <x v="4"/>
    <s v="High"/>
    <x v="80"/>
    <n v="260"/>
    <n v="7"/>
    <x v="80"/>
    <x v="0"/>
    <x v="80"/>
    <x v="80"/>
    <x v="80"/>
    <x v="5"/>
    <n v="10"/>
    <x v="5"/>
    <x v="0"/>
  </r>
  <r>
    <x v="0"/>
    <x v="2"/>
    <x v="2"/>
    <s v="Low"/>
    <x v="83"/>
    <n v="10"/>
    <n v="7"/>
    <x v="83"/>
    <x v="74"/>
    <x v="83"/>
    <x v="83"/>
    <x v="83"/>
    <x v="0"/>
    <n v="1"/>
    <x v="0"/>
    <x v="0"/>
  </r>
  <r>
    <x v="0"/>
    <x v="2"/>
    <x v="2"/>
    <s v="Low"/>
    <x v="84"/>
    <n v="10"/>
    <n v="7"/>
    <x v="84"/>
    <x v="75"/>
    <x v="84"/>
    <x v="84"/>
    <x v="84"/>
    <x v="9"/>
    <n v="5"/>
    <x v="8"/>
    <x v="0"/>
  </r>
  <r>
    <x v="0"/>
    <x v="2"/>
    <x v="5"/>
    <s v="Low"/>
    <x v="85"/>
    <n v="120"/>
    <n v="7"/>
    <x v="85"/>
    <x v="76"/>
    <x v="85"/>
    <x v="85"/>
    <x v="85"/>
    <x v="7"/>
    <n v="11"/>
    <x v="6"/>
    <x v="0"/>
  </r>
  <r>
    <x v="0"/>
    <x v="0"/>
    <x v="3"/>
    <s v="Low"/>
    <x v="86"/>
    <n v="250"/>
    <n v="7"/>
    <x v="86"/>
    <x v="77"/>
    <x v="86"/>
    <x v="46"/>
    <x v="86"/>
    <x v="15"/>
    <n v="3"/>
    <x v="11"/>
    <x v="0"/>
  </r>
  <r>
    <x v="0"/>
    <x v="3"/>
    <x v="0"/>
    <s v="Low"/>
    <x v="87"/>
    <n v="3"/>
    <n v="7"/>
    <x v="87"/>
    <x v="78"/>
    <x v="87"/>
    <x v="86"/>
    <x v="87"/>
    <x v="4"/>
    <n v="7"/>
    <x v="4"/>
    <x v="0"/>
  </r>
  <r>
    <x v="0"/>
    <x v="0"/>
    <x v="1"/>
    <s v="Low"/>
    <x v="88"/>
    <n v="5"/>
    <n v="7"/>
    <x v="88"/>
    <x v="79"/>
    <x v="88"/>
    <x v="87"/>
    <x v="88"/>
    <x v="13"/>
    <n v="8"/>
    <x v="10"/>
    <x v="0"/>
  </r>
  <r>
    <x v="0"/>
    <x v="4"/>
    <x v="5"/>
    <s v="Low"/>
    <x v="89"/>
    <n v="120"/>
    <n v="7"/>
    <x v="89"/>
    <x v="80"/>
    <x v="89"/>
    <x v="88"/>
    <x v="89"/>
    <x v="9"/>
    <n v="5"/>
    <x v="8"/>
    <x v="0"/>
  </r>
  <r>
    <x v="0"/>
    <x v="0"/>
    <x v="5"/>
    <s v="Low"/>
    <x v="90"/>
    <n v="120"/>
    <n v="7"/>
    <x v="90"/>
    <x v="81"/>
    <x v="90"/>
    <x v="89"/>
    <x v="90"/>
    <x v="14"/>
    <n v="11"/>
    <x v="6"/>
    <x v="1"/>
  </r>
  <r>
    <x v="0"/>
    <x v="1"/>
    <x v="3"/>
    <s v="Low"/>
    <x v="91"/>
    <n v="250"/>
    <n v="7"/>
    <x v="91"/>
    <x v="82"/>
    <x v="91"/>
    <x v="90"/>
    <x v="91"/>
    <x v="15"/>
    <n v="3"/>
    <x v="11"/>
    <x v="0"/>
  </r>
  <r>
    <x v="0"/>
    <x v="2"/>
    <x v="0"/>
    <s v="Low"/>
    <x v="92"/>
    <n v="3"/>
    <n v="7"/>
    <x v="92"/>
    <x v="83"/>
    <x v="92"/>
    <x v="91"/>
    <x v="92"/>
    <x v="14"/>
    <n v="11"/>
    <x v="6"/>
    <x v="1"/>
  </r>
  <r>
    <x v="0"/>
    <x v="3"/>
    <x v="2"/>
    <s v="Low"/>
    <x v="93"/>
    <n v="10"/>
    <n v="7"/>
    <x v="93"/>
    <x v="84"/>
    <x v="93"/>
    <x v="92"/>
    <x v="93"/>
    <x v="6"/>
    <n v="12"/>
    <x v="3"/>
    <x v="1"/>
  </r>
  <r>
    <x v="0"/>
    <x v="1"/>
    <x v="1"/>
    <s v="Low"/>
    <x v="94"/>
    <n v="5"/>
    <n v="7"/>
    <x v="94"/>
    <x v="85"/>
    <x v="94"/>
    <x v="93"/>
    <x v="94"/>
    <x v="2"/>
    <n v="2"/>
    <x v="2"/>
    <x v="0"/>
  </r>
  <r>
    <x v="0"/>
    <x v="2"/>
    <x v="1"/>
    <s v="Low"/>
    <x v="7"/>
    <n v="5"/>
    <n v="7"/>
    <x v="95"/>
    <x v="86"/>
    <x v="95"/>
    <x v="94"/>
    <x v="95"/>
    <x v="11"/>
    <n v="9"/>
    <x v="9"/>
    <x v="0"/>
  </r>
  <r>
    <x v="0"/>
    <x v="4"/>
    <x v="2"/>
    <s v="Low"/>
    <x v="95"/>
    <n v="10"/>
    <n v="7"/>
    <x v="96"/>
    <x v="87"/>
    <x v="96"/>
    <x v="95"/>
    <x v="96"/>
    <x v="10"/>
    <n v="9"/>
    <x v="9"/>
    <x v="1"/>
  </r>
  <r>
    <x v="0"/>
    <x v="0"/>
    <x v="0"/>
    <s v="Low"/>
    <x v="96"/>
    <n v="3"/>
    <n v="7"/>
    <x v="97"/>
    <x v="88"/>
    <x v="97"/>
    <x v="96"/>
    <x v="97"/>
    <x v="12"/>
    <n v="10"/>
    <x v="5"/>
    <x v="1"/>
  </r>
  <r>
    <x v="0"/>
    <x v="0"/>
    <x v="1"/>
    <s v="Low"/>
    <x v="96"/>
    <n v="5"/>
    <n v="7"/>
    <x v="97"/>
    <x v="88"/>
    <x v="97"/>
    <x v="96"/>
    <x v="97"/>
    <x v="12"/>
    <n v="10"/>
    <x v="5"/>
    <x v="1"/>
  </r>
  <r>
    <x v="0"/>
    <x v="1"/>
    <x v="1"/>
    <s v="Medium"/>
    <x v="97"/>
    <n v="5"/>
    <n v="7"/>
    <x v="98"/>
    <x v="89"/>
    <x v="98"/>
    <x v="97"/>
    <x v="98"/>
    <x v="12"/>
    <n v="10"/>
    <x v="5"/>
    <x v="1"/>
  </r>
  <r>
    <x v="0"/>
    <x v="1"/>
    <x v="2"/>
    <s v="Medium"/>
    <x v="98"/>
    <n v="10"/>
    <n v="7"/>
    <x v="99"/>
    <x v="90"/>
    <x v="99"/>
    <x v="98"/>
    <x v="99"/>
    <x v="0"/>
    <n v="1"/>
    <x v="0"/>
    <x v="0"/>
  </r>
  <r>
    <x v="0"/>
    <x v="0"/>
    <x v="2"/>
    <s v="Medium"/>
    <x v="99"/>
    <n v="10"/>
    <n v="7"/>
    <x v="100"/>
    <x v="91"/>
    <x v="100"/>
    <x v="99"/>
    <x v="100"/>
    <x v="10"/>
    <n v="9"/>
    <x v="9"/>
    <x v="1"/>
  </r>
  <r>
    <x v="0"/>
    <x v="4"/>
    <x v="2"/>
    <s v="Medium"/>
    <x v="100"/>
    <n v="10"/>
    <n v="7"/>
    <x v="101"/>
    <x v="92"/>
    <x v="101"/>
    <x v="100"/>
    <x v="101"/>
    <x v="5"/>
    <n v="10"/>
    <x v="5"/>
    <x v="0"/>
  </r>
  <r>
    <x v="0"/>
    <x v="4"/>
    <x v="3"/>
    <s v="Medium"/>
    <x v="100"/>
    <n v="250"/>
    <n v="7"/>
    <x v="101"/>
    <x v="92"/>
    <x v="101"/>
    <x v="100"/>
    <x v="101"/>
    <x v="5"/>
    <n v="10"/>
    <x v="5"/>
    <x v="0"/>
  </r>
  <r>
    <x v="0"/>
    <x v="4"/>
    <x v="4"/>
    <s v="Medium"/>
    <x v="101"/>
    <n v="260"/>
    <n v="7"/>
    <x v="102"/>
    <x v="93"/>
    <x v="102"/>
    <x v="101"/>
    <x v="102"/>
    <x v="4"/>
    <n v="7"/>
    <x v="4"/>
    <x v="0"/>
  </r>
  <r>
    <x v="0"/>
    <x v="1"/>
    <x v="4"/>
    <s v="Medium"/>
    <x v="97"/>
    <n v="260"/>
    <n v="7"/>
    <x v="98"/>
    <x v="89"/>
    <x v="98"/>
    <x v="97"/>
    <x v="98"/>
    <x v="12"/>
    <n v="10"/>
    <x v="5"/>
    <x v="1"/>
  </r>
  <r>
    <x v="0"/>
    <x v="1"/>
    <x v="0"/>
    <s v="Medium"/>
    <x v="102"/>
    <n v="3"/>
    <n v="7"/>
    <x v="103"/>
    <x v="94"/>
    <x v="103"/>
    <x v="102"/>
    <x v="103"/>
    <x v="14"/>
    <n v="11"/>
    <x v="6"/>
    <x v="1"/>
  </r>
  <r>
    <x v="0"/>
    <x v="3"/>
    <x v="0"/>
    <s v="Medium"/>
    <x v="103"/>
    <n v="3"/>
    <n v="7"/>
    <x v="104"/>
    <x v="95"/>
    <x v="104"/>
    <x v="103"/>
    <x v="104"/>
    <x v="3"/>
    <n v="12"/>
    <x v="3"/>
    <x v="0"/>
  </r>
  <r>
    <x v="0"/>
    <x v="2"/>
    <x v="0"/>
    <s v="Medium"/>
    <x v="104"/>
    <n v="3"/>
    <n v="7"/>
    <x v="105"/>
    <x v="96"/>
    <x v="105"/>
    <x v="104"/>
    <x v="105"/>
    <x v="3"/>
    <n v="12"/>
    <x v="3"/>
    <x v="0"/>
  </r>
  <r>
    <x v="0"/>
    <x v="3"/>
    <x v="2"/>
    <s v="Medium"/>
    <x v="105"/>
    <n v="10"/>
    <n v="7"/>
    <x v="106"/>
    <x v="97"/>
    <x v="106"/>
    <x v="105"/>
    <x v="106"/>
    <x v="9"/>
    <n v="5"/>
    <x v="8"/>
    <x v="0"/>
  </r>
  <r>
    <x v="0"/>
    <x v="2"/>
    <x v="2"/>
    <s v="Medium"/>
    <x v="106"/>
    <n v="10"/>
    <n v="7"/>
    <x v="107"/>
    <x v="98"/>
    <x v="107"/>
    <x v="106"/>
    <x v="107"/>
    <x v="6"/>
    <n v="12"/>
    <x v="3"/>
    <x v="1"/>
  </r>
  <r>
    <x v="0"/>
    <x v="3"/>
    <x v="3"/>
    <s v="Medium"/>
    <x v="103"/>
    <n v="250"/>
    <n v="7"/>
    <x v="104"/>
    <x v="95"/>
    <x v="104"/>
    <x v="103"/>
    <x v="104"/>
    <x v="3"/>
    <n v="12"/>
    <x v="3"/>
    <x v="0"/>
  </r>
  <r>
    <x v="0"/>
    <x v="2"/>
    <x v="3"/>
    <s v="Medium"/>
    <x v="104"/>
    <n v="250"/>
    <n v="7"/>
    <x v="105"/>
    <x v="96"/>
    <x v="105"/>
    <x v="104"/>
    <x v="105"/>
    <x v="3"/>
    <n v="12"/>
    <x v="3"/>
    <x v="0"/>
  </r>
  <r>
    <x v="0"/>
    <x v="3"/>
    <x v="0"/>
    <s v="Medium"/>
    <x v="91"/>
    <n v="3"/>
    <n v="7"/>
    <x v="91"/>
    <x v="99"/>
    <x v="108"/>
    <x v="90"/>
    <x v="108"/>
    <x v="14"/>
    <n v="11"/>
    <x v="6"/>
    <x v="1"/>
  </r>
  <r>
    <x v="0"/>
    <x v="2"/>
    <x v="1"/>
    <s v="Medium"/>
    <x v="107"/>
    <n v="5"/>
    <n v="7"/>
    <x v="108"/>
    <x v="100"/>
    <x v="109"/>
    <x v="107"/>
    <x v="109"/>
    <x v="12"/>
    <n v="10"/>
    <x v="5"/>
    <x v="1"/>
  </r>
  <r>
    <x v="0"/>
    <x v="4"/>
    <x v="5"/>
    <s v="Medium"/>
    <x v="108"/>
    <n v="120"/>
    <n v="7"/>
    <x v="109"/>
    <x v="101"/>
    <x v="110"/>
    <x v="108"/>
    <x v="110"/>
    <x v="1"/>
    <n v="6"/>
    <x v="1"/>
    <x v="0"/>
  </r>
  <r>
    <x v="0"/>
    <x v="4"/>
    <x v="3"/>
    <s v="Medium"/>
    <x v="108"/>
    <n v="250"/>
    <n v="7"/>
    <x v="109"/>
    <x v="101"/>
    <x v="110"/>
    <x v="108"/>
    <x v="110"/>
    <x v="1"/>
    <n v="6"/>
    <x v="1"/>
    <x v="0"/>
  </r>
  <r>
    <x v="0"/>
    <x v="2"/>
    <x v="4"/>
    <s v="Medium"/>
    <x v="107"/>
    <n v="260"/>
    <n v="7"/>
    <x v="108"/>
    <x v="100"/>
    <x v="109"/>
    <x v="107"/>
    <x v="109"/>
    <x v="12"/>
    <n v="10"/>
    <x v="5"/>
    <x v="1"/>
  </r>
  <r>
    <x v="0"/>
    <x v="4"/>
    <x v="5"/>
    <s v="Medium"/>
    <x v="109"/>
    <n v="120"/>
    <n v="7"/>
    <x v="110"/>
    <x v="102"/>
    <x v="111"/>
    <x v="109"/>
    <x v="111"/>
    <x v="7"/>
    <n v="11"/>
    <x v="6"/>
    <x v="0"/>
  </r>
  <r>
    <x v="0"/>
    <x v="2"/>
    <x v="2"/>
    <s v="Medium"/>
    <x v="110"/>
    <n v="10"/>
    <n v="7"/>
    <x v="111"/>
    <x v="103"/>
    <x v="112"/>
    <x v="110"/>
    <x v="112"/>
    <x v="10"/>
    <n v="9"/>
    <x v="9"/>
    <x v="1"/>
  </r>
  <r>
    <x v="0"/>
    <x v="0"/>
    <x v="5"/>
    <s v="Medium"/>
    <x v="111"/>
    <n v="120"/>
    <n v="7"/>
    <x v="112"/>
    <x v="104"/>
    <x v="113"/>
    <x v="111"/>
    <x v="113"/>
    <x v="1"/>
    <n v="6"/>
    <x v="1"/>
    <x v="0"/>
  </r>
  <r>
    <x v="0"/>
    <x v="3"/>
    <x v="5"/>
    <s v="Medium"/>
    <x v="112"/>
    <n v="120"/>
    <n v="7"/>
    <x v="113"/>
    <x v="105"/>
    <x v="114"/>
    <x v="112"/>
    <x v="114"/>
    <x v="7"/>
    <n v="11"/>
    <x v="6"/>
    <x v="0"/>
  </r>
  <r>
    <x v="0"/>
    <x v="0"/>
    <x v="5"/>
    <s v="Medium"/>
    <x v="113"/>
    <n v="120"/>
    <n v="7"/>
    <x v="114"/>
    <x v="106"/>
    <x v="115"/>
    <x v="113"/>
    <x v="115"/>
    <x v="3"/>
    <n v="12"/>
    <x v="3"/>
    <x v="0"/>
  </r>
  <r>
    <x v="0"/>
    <x v="0"/>
    <x v="3"/>
    <s v="Medium"/>
    <x v="113"/>
    <n v="250"/>
    <n v="7"/>
    <x v="114"/>
    <x v="106"/>
    <x v="115"/>
    <x v="113"/>
    <x v="115"/>
    <x v="3"/>
    <n v="12"/>
    <x v="3"/>
    <x v="0"/>
  </r>
  <r>
    <x v="0"/>
    <x v="0"/>
    <x v="4"/>
    <s v="Medium"/>
    <x v="111"/>
    <n v="260"/>
    <n v="7"/>
    <x v="112"/>
    <x v="104"/>
    <x v="113"/>
    <x v="111"/>
    <x v="113"/>
    <x v="1"/>
    <n v="6"/>
    <x v="1"/>
    <x v="0"/>
  </r>
  <r>
    <x v="0"/>
    <x v="1"/>
    <x v="2"/>
    <s v="Medium"/>
    <x v="114"/>
    <n v="10"/>
    <n v="7"/>
    <x v="115"/>
    <x v="107"/>
    <x v="116"/>
    <x v="114"/>
    <x v="116"/>
    <x v="6"/>
    <n v="12"/>
    <x v="3"/>
    <x v="1"/>
  </r>
  <r>
    <x v="0"/>
    <x v="0"/>
    <x v="1"/>
    <s v="Medium"/>
    <x v="115"/>
    <n v="5"/>
    <n v="7"/>
    <x v="116"/>
    <x v="108"/>
    <x v="117"/>
    <x v="115"/>
    <x v="117"/>
    <x v="2"/>
    <n v="2"/>
    <x v="2"/>
    <x v="0"/>
  </r>
  <r>
    <x v="0"/>
    <x v="0"/>
    <x v="2"/>
    <s v="Medium"/>
    <x v="116"/>
    <n v="10"/>
    <n v="7"/>
    <x v="117"/>
    <x v="109"/>
    <x v="118"/>
    <x v="116"/>
    <x v="118"/>
    <x v="9"/>
    <n v="5"/>
    <x v="8"/>
    <x v="0"/>
  </r>
  <r>
    <x v="0"/>
    <x v="1"/>
    <x v="2"/>
    <s v="Medium"/>
    <x v="117"/>
    <n v="10"/>
    <n v="7"/>
    <x v="118"/>
    <x v="110"/>
    <x v="119"/>
    <x v="117"/>
    <x v="119"/>
    <x v="8"/>
    <n v="4"/>
    <x v="7"/>
    <x v="0"/>
  </r>
  <r>
    <x v="0"/>
    <x v="1"/>
    <x v="2"/>
    <s v="Medium"/>
    <x v="118"/>
    <n v="10"/>
    <n v="7"/>
    <x v="119"/>
    <x v="111"/>
    <x v="120"/>
    <x v="118"/>
    <x v="120"/>
    <x v="9"/>
    <n v="5"/>
    <x v="8"/>
    <x v="0"/>
  </r>
  <r>
    <x v="0"/>
    <x v="3"/>
    <x v="2"/>
    <s v="Medium"/>
    <x v="119"/>
    <n v="10"/>
    <n v="7"/>
    <x v="120"/>
    <x v="112"/>
    <x v="121"/>
    <x v="119"/>
    <x v="121"/>
    <x v="13"/>
    <n v="8"/>
    <x v="10"/>
    <x v="0"/>
  </r>
  <r>
    <x v="0"/>
    <x v="1"/>
    <x v="2"/>
    <s v="Medium"/>
    <x v="120"/>
    <n v="10"/>
    <n v="7"/>
    <x v="121"/>
    <x v="113"/>
    <x v="122"/>
    <x v="120"/>
    <x v="122"/>
    <x v="13"/>
    <n v="8"/>
    <x v="10"/>
    <x v="0"/>
  </r>
  <r>
    <x v="0"/>
    <x v="1"/>
    <x v="2"/>
    <s v="Medium"/>
    <x v="121"/>
    <n v="10"/>
    <n v="7"/>
    <x v="122"/>
    <x v="114"/>
    <x v="123"/>
    <x v="121"/>
    <x v="123"/>
    <x v="10"/>
    <n v="9"/>
    <x v="9"/>
    <x v="1"/>
  </r>
  <r>
    <x v="0"/>
    <x v="4"/>
    <x v="2"/>
    <s v="Medium"/>
    <x v="122"/>
    <n v="10"/>
    <n v="7"/>
    <x v="123"/>
    <x v="115"/>
    <x v="124"/>
    <x v="47"/>
    <x v="124"/>
    <x v="6"/>
    <n v="12"/>
    <x v="3"/>
    <x v="1"/>
  </r>
  <r>
    <x v="0"/>
    <x v="3"/>
    <x v="5"/>
    <s v="Medium"/>
    <x v="123"/>
    <n v="120"/>
    <n v="7"/>
    <x v="124"/>
    <x v="116"/>
    <x v="125"/>
    <x v="122"/>
    <x v="125"/>
    <x v="1"/>
    <n v="6"/>
    <x v="1"/>
    <x v="0"/>
  </r>
  <r>
    <x v="0"/>
    <x v="1"/>
    <x v="5"/>
    <s v="Medium"/>
    <x v="124"/>
    <n v="120"/>
    <n v="7"/>
    <x v="125"/>
    <x v="117"/>
    <x v="126"/>
    <x v="123"/>
    <x v="126"/>
    <x v="1"/>
    <n v="6"/>
    <x v="1"/>
    <x v="0"/>
  </r>
  <r>
    <x v="0"/>
    <x v="1"/>
    <x v="3"/>
    <s v="Medium"/>
    <x v="124"/>
    <n v="250"/>
    <n v="7"/>
    <x v="125"/>
    <x v="117"/>
    <x v="126"/>
    <x v="123"/>
    <x v="126"/>
    <x v="1"/>
    <n v="6"/>
    <x v="1"/>
    <x v="0"/>
  </r>
  <r>
    <x v="0"/>
    <x v="3"/>
    <x v="4"/>
    <s v="Medium"/>
    <x v="123"/>
    <n v="260"/>
    <n v="7"/>
    <x v="124"/>
    <x v="116"/>
    <x v="125"/>
    <x v="122"/>
    <x v="125"/>
    <x v="1"/>
    <n v="6"/>
    <x v="1"/>
    <x v="0"/>
  </r>
  <r>
    <x v="0"/>
    <x v="0"/>
    <x v="1"/>
    <s v="Medium"/>
    <x v="125"/>
    <n v="5"/>
    <n v="7"/>
    <x v="126"/>
    <x v="118"/>
    <x v="127"/>
    <x v="124"/>
    <x v="127"/>
    <x v="6"/>
    <n v="12"/>
    <x v="3"/>
    <x v="1"/>
  </r>
  <r>
    <x v="0"/>
    <x v="0"/>
    <x v="0"/>
    <s v="Medium"/>
    <x v="126"/>
    <n v="3"/>
    <n v="7"/>
    <x v="127"/>
    <x v="119"/>
    <x v="128"/>
    <x v="125"/>
    <x v="128"/>
    <x v="4"/>
    <n v="7"/>
    <x v="4"/>
    <x v="0"/>
  </r>
  <r>
    <x v="0"/>
    <x v="4"/>
    <x v="0"/>
    <s v="Medium"/>
    <x v="127"/>
    <n v="3"/>
    <n v="7"/>
    <x v="128"/>
    <x v="120"/>
    <x v="129"/>
    <x v="126"/>
    <x v="129"/>
    <x v="3"/>
    <n v="12"/>
    <x v="3"/>
    <x v="0"/>
  </r>
  <r>
    <x v="0"/>
    <x v="1"/>
    <x v="2"/>
    <s v="Medium"/>
    <x v="128"/>
    <n v="10"/>
    <n v="7"/>
    <x v="129"/>
    <x v="121"/>
    <x v="130"/>
    <x v="127"/>
    <x v="130"/>
    <x v="5"/>
    <n v="10"/>
    <x v="5"/>
    <x v="0"/>
  </r>
  <r>
    <x v="0"/>
    <x v="1"/>
    <x v="3"/>
    <s v="Medium"/>
    <x v="128"/>
    <n v="250"/>
    <n v="7"/>
    <x v="129"/>
    <x v="121"/>
    <x v="130"/>
    <x v="127"/>
    <x v="130"/>
    <x v="5"/>
    <n v="10"/>
    <x v="5"/>
    <x v="0"/>
  </r>
  <r>
    <x v="0"/>
    <x v="4"/>
    <x v="3"/>
    <s v="Medium"/>
    <x v="127"/>
    <n v="250"/>
    <n v="7"/>
    <x v="128"/>
    <x v="120"/>
    <x v="129"/>
    <x v="126"/>
    <x v="129"/>
    <x v="3"/>
    <n v="12"/>
    <x v="3"/>
    <x v="0"/>
  </r>
  <r>
    <x v="0"/>
    <x v="3"/>
    <x v="1"/>
    <s v="High"/>
    <x v="129"/>
    <n v="5"/>
    <n v="7"/>
    <x v="130"/>
    <x v="122"/>
    <x v="131"/>
    <x v="128"/>
    <x v="131"/>
    <x v="11"/>
    <n v="9"/>
    <x v="9"/>
    <x v="0"/>
  </r>
  <r>
    <x v="0"/>
    <x v="1"/>
    <x v="5"/>
    <s v="High"/>
    <x v="130"/>
    <n v="120"/>
    <n v="7"/>
    <x v="131"/>
    <x v="123"/>
    <x v="132"/>
    <x v="129"/>
    <x v="132"/>
    <x v="7"/>
    <n v="11"/>
    <x v="6"/>
    <x v="0"/>
  </r>
  <r>
    <x v="0"/>
    <x v="2"/>
    <x v="2"/>
    <s v="High"/>
    <x v="131"/>
    <n v="10"/>
    <n v="7"/>
    <x v="132"/>
    <x v="124"/>
    <x v="133"/>
    <x v="130"/>
    <x v="133"/>
    <x v="8"/>
    <n v="4"/>
    <x v="7"/>
    <x v="0"/>
  </r>
  <r>
    <x v="0"/>
    <x v="3"/>
    <x v="3"/>
    <s v="High"/>
    <x v="22"/>
    <n v="250"/>
    <n v="7"/>
    <x v="133"/>
    <x v="125"/>
    <x v="134"/>
    <x v="131"/>
    <x v="134"/>
    <x v="15"/>
    <n v="3"/>
    <x v="11"/>
    <x v="0"/>
  </r>
  <r>
    <x v="0"/>
    <x v="4"/>
    <x v="0"/>
    <s v="High"/>
    <x v="132"/>
    <n v="3"/>
    <n v="7"/>
    <x v="134"/>
    <x v="126"/>
    <x v="135"/>
    <x v="132"/>
    <x v="135"/>
    <x v="14"/>
    <n v="11"/>
    <x v="6"/>
    <x v="1"/>
  </r>
  <r>
    <x v="0"/>
    <x v="0"/>
    <x v="5"/>
    <s v="High"/>
    <x v="133"/>
    <n v="120"/>
    <n v="7"/>
    <x v="135"/>
    <x v="127"/>
    <x v="136"/>
    <x v="133"/>
    <x v="136"/>
    <x v="7"/>
    <n v="11"/>
    <x v="6"/>
    <x v="0"/>
  </r>
  <r>
    <x v="0"/>
    <x v="3"/>
    <x v="2"/>
    <s v="High"/>
    <x v="134"/>
    <n v="10"/>
    <n v="7"/>
    <x v="136"/>
    <x v="128"/>
    <x v="137"/>
    <x v="134"/>
    <x v="137"/>
    <x v="10"/>
    <n v="9"/>
    <x v="9"/>
    <x v="1"/>
  </r>
  <r>
    <x v="0"/>
    <x v="4"/>
    <x v="1"/>
    <s v="High"/>
    <x v="135"/>
    <n v="5"/>
    <n v="7"/>
    <x v="137"/>
    <x v="129"/>
    <x v="138"/>
    <x v="135"/>
    <x v="138"/>
    <x v="11"/>
    <n v="9"/>
    <x v="9"/>
    <x v="0"/>
  </r>
  <r>
    <x v="0"/>
    <x v="0"/>
    <x v="1"/>
    <s v="High"/>
    <x v="136"/>
    <n v="5"/>
    <n v="7"/>
    <x v="138"/>
    <x v="130"/>
    <x v="139"/>
    <x v="136"/>
    <x v="139"/>
    <x v="5"/>
    <n v="10"/>
    <x v="5"/>
    <x v="0"/>
  </r>
  <r>
    <x v="0"/>
    <x v="2"/>
    <x v="4"/>
    <s v="High"/>
    <x v="137"/>
    <n v="260"/>
    <n v="7"/>
    <x v="139"/>
    <x v="131"/>
    <x v="140"/>
    <x v="137"/>
    <x v="140"/>
    <x v="4"/>
    <n v="7"/>
    <x v="4"/>
    <x v="0"/>
  </r>
  <r>
    <x v="0"/>
    <x v="0"/>
    <x v="4"/>
    <s v="High"/>
    <x v="136"/>
    <n v="260"/>
    <n v="7"/>
    <x v="138"/>
    <x v="130"/>
    <x v="139"/>
    <x v="136"/>
    <x v="139"/>
    <x v="5"/>
    <n v="10"/>
    <x v="5"/>
    <x v="0"/>
  </r>
  <r>
    <x v="0"/>
    <x v="2"/>
    <x v="3"/>
    <s v="High"/>
    <x v="138"/>
    <n v="250"/>
    <n v="7"/>
    <x v="140"/>
    <x v="132"/>
    <x v="141"/>
    <x v="138"/>
    <x v="141"/>
    <x v="15"/>
    <n v="3"/>
    <x v="11"/>
    <x v="0"/>
  </r>
  <r>
    <x v="0"/>
    <x v="3"/>
    <x v="1"/>
    <s v="High"/>
    <x v="139"/>
    <n v="5"/>
    <n v="7"/>
    <x v="141"/>
    <x v="133"/>
    <x v="142"/>
    <x v="139"/>
    <x v="142"/>
    <x v="2"/>
    <n v="2"/>
    <x v="2"/>
    <x v="0"/>
  </r>
  <r>
    <x v="0"/>
    <x v="3"/>
    <x v="2"/>
    <s v="High"/>
    <x v="140"/>
    <n v="10"/>
    <n v="7"/>
    <x v="142"/>
    <x v="134"/>
    <x v="143"/>
    <x v="140"/>
    <x v="143"/>
    <x v="0"/>
    <n v="1"/>
    <x v="0"/>
    <x v="0"/>
  </r>
  <r>
    <x v="0"/>
    <x v="2"/>
    <x v="2"/>
    <s v="High"/>
    <x v="141"/>
    <n v="10"/>
    <n v="7"/>
    <x v="143"/>
    <x v="135"/>
    <x v="144"/>
    <x v="141"/>
    <x v="144"/>
    <x v="13"/>
    <n v="8"/>
    <x v="10"/>
    <x v="0"/>
  </r>
  <r>
    <x v="0"/>
    <x v="2"/>
    <x v="5"/>
    <s v="High"/>
    <x v="142"/>
    <n v="120"/>
    <n v="7"/>
    <x v="144"/>
    <x v="136"/>
    <x v="145"/>
    <x v="142"/>
    <x v="145"/>
    <x v="1"/>
    <n v="6"/>
    <x v="1"/>
    <x v="0"/>
  </r>
  <r>
    <x v="0"/>
    <x v="2"/>
    <x v="4"/>
    <s v="High"/>
    <x v="142"/>
    <n v="260"/>
    <n v="7"/>
    <x v="144"/>
    <x v="136"/>
    <x v="145"/>
    <x v="142"/>
    <x v="145"/>
    <x v="1"/>
    <n v="6"/>
    <x v="1"/>
    <x v="0"/>
  </r>
  <r>
    <x v="0"/>
    <x v="3"/>
    <x v="0"/>
    <s v="High"/>
    <x v="143"/>
    <n v="3"/>
    <n v="7"/>
    <x v="145"/>
    <x v="137"/>
    <x v="146"/>
    <x v="143"/>
    <x v="146"/>
    <x v="12"/>
    <n v="10"/>
    <x v="5"/>
    <x v="1"/>
  </r>
  <r>
    <x v="0"/>
    <x v="1"/>
    <x v="0"/>
    <s v="High"/>
    <x v="144"/>
    <n v="3"/>
    <n v="7"/>
    <x v="146"/>
    <x v="138"/>
    <x v="147"/>
    <x v="144"/>
    <x v="147"/>
    <x v="3"/>
    <n v="12"/>
    <x v="3"/>
    <x v="0"/>
  </r>
  <r>
    <x v="0"/>
    <x v="2"/>
    <x v="1"/>
    <s v="High"/>
    <x v="76"/>
    <n v="5"/>
    <n v="7"/>
    <x v="147"/>
    <x v="139"/>
    <x v="148"/>
    <x v="145"/>
    <x v="148"/>
    <x v="2"/>
    <n v="2"/>
    <x v="2"/>
    <x v="0"/>
  </r>
  <r>
    <x v="0"/>
    <x v="3"/>
    <x v="1"/>
    <s v="High"/>
    <x v="143"/>
    <n v="5"/>
    <n v="7"/>
    <x v="145"/>
    <x v="137"/>
    <x v="146"/>
    <x v="143"/>
    <x v="146"/>
    <x v="12"/>
    <n v="10"/>
    <x v="5"/>
    <x v="1"/>
  </r>
  <r>
    <x v="0"/>
    <x v="1"/>
    <x v="3"/>
    <s v="High"/>
    <x v="144"/>
    <n v="250"/>
    <n v="7"/>
    <x v="146"/>
    <x v="138"/>
    <x v="147"/>
    <x v="144"/>
    <x v="147"/>
    <x v="3"/>
    <n v="12"/>
    <x v="3"/>
    <x v="0"/>
  </r>
  <r>
    <x v="0"/>
    <x v="0"/>
    <x v="1"/>
    <s v="High"/>
    <x v="145"/>
    <n v="5"/>
    <n v="7"/>
    <x v="148"/>
    <x v="140"/>
    <x v="149"/>
    <x v="146"/>
    <x v="149"/>
    <x v="11"/>
    <n v="9"/>
    <x v="9"/>
    <x v="0"/>
  </r>
  <r>
    <x v="0"/>
    <x v="4"/>
    <x v="1"/>
    <s v="High"/>
    <x v="146"/>
    <n v="5"/>
    <n v="7"/>
    <x v="149"/>
    <x v="141"/>
    <x v="150"/>
    <x v="147"/>
    <x v="150"/>
    <x v="12"/>
    <n v="10"/>
    <x v="5"/>
    <x v="1"/>
  </r>
  <r>
    <x v="0"/>
    <x v="2"/>
    <x v="2"/>
    <s v="High"/>
    <x v="147"/>
    <n v="10"/>
    <n v="7"/>
    <x v="150"/>
    <x v="142"/>
    <x v="151"/>
    <x v="77"/>
    <x v="151"/>
    <x v="5"/>
    <n v="10"/>
    <x v="5"/>
    <x v="0"/>
  </r>
  <r>
    <x v="0"/>
    <x v="4"/>
    <x v="3"/>
    <s v="High"/>
    <x v="148"/>
    <n v="250"/>
    <n v="7"/>
    <x v="151"/>
    <x v="143"/>
    <x v="152"/>
    <x v="148"/>
    <x v="152"/>
    <x v="15"/>
    <n v="3"/>
    <x v="11"/>
    <x v="0"/>
  </r>
  <r>
    <x v="0"/>
    <x v="2"/>
    <x v="4"/>
    <s v="High"/>
    <x v="147"/>
    <n v="260"/>
    <n v="7"/>
    <x v="150"/>
    <x v="142"/>
    <x v="151"/>
    <x v="77"/>
    <x v="151"/>
    <x v="5"/>
    <n v="10"/>
    <x v="5"/>
    <x v="0"/>
  </r>
  <r>
    <x v="0"/>
    <x v="4"/>
    <x v="4"/>
    <s v="High"/>
    <x v="146"/>
    <n v="260"/>
    <n v="7"/>
    <x v="149"/>
    <x v="141"/>
    <x v="150"/>
    <x v="147"/>
    <x v="150"/>
    <x v="12"/>
    <n v="10"/>
    <x v="5"/>
    <x v="1"/>
  </r>
  <r>
    <x v="0"/>
    <x v="4"/>
    <x v="2"/>
    <s v="High"/>
    <x v="149"/>
    <n v="10"/>
    <n v="7"/>
    <x v="152"/>
    <x v="144"/>
    <x v="153"/>
    <x v="149"/>
    <x v="153"/>
    <x v="8"/>
    <n v="4"/>
    <x v="7"/>
    <x v="0"/>
  </r>
  <r>
    <x v="0"/>
    <x v="4"/>
    <x v="1"/>
    <s v="High"/>
    <x v="150"/>
    <n v="5"/>
    <n v="7"/>
    <x v="153"/>
    <x v="145"/>
    <x v="154"/>
    <x v="150"/>
    <x v="154"/>
    <x v="2"/>
    <n v="2"/>
    <x v="2"/>
    <x v="0"/>
  </r>
  <r>
    <x v="0"/>
    <x v="0"/>
    <x v="2"/>
    <s v="High"/>
    <x v="151"/>
    <n v="10"/>
    <n v="7"/>
    <x v="154"/>
    <x v="146"/>
    <x v="155"/>
    <x v="151"/>
    <x v="155"/>
    <x v="8"/>
    <n v="4"/>
    <x v="7"/>
    <x v="0"/>
  </r>
  <r>
    <x v="1"/>
    <x v="2"/>
    <x v="0"/>
    <s v="High"/>
    <x v="152"/>
    <n v="3"/>
    <n v="15"/>
    <x v="155"/>
    <x v="0"/>
    <x v="156"/>
    <x v="152"/>
    <x v="156"/>
    <x v="1"/>
    <n v="6"/>
    <x v="1"/>
    <x v="0"/>
  </r>
  <r>
    <x v="1"/>
    <x v="1"/>
    <x v="0"/>
    <s v="High"/>
    <x v="153"/>
    <n v="3"/>
    <n v="15"/>
    <x v="156"/>
    <x v="0"/>
    <x v="157"/>
    <x v="153"/>
    <x v="157"/>
    <x v="1"/>
    <n v="6"/>
    <x v="1"/>
    <x v="0"/>
  </r>
  <r>
    <x v="1"/>
    <x v="4"/>
    <x v="0"/>
    <s v="High"/>
    <x v="154"/>
    <n v="3"/>
    <n v="15"/>
    <x v="157"/>
    <x v="0"/>
    <x v="158"/>
    <x v="154"/>
    <x v="158"/>
    <x v="1"/>
    <n v="6"/>
    <x v="1"/>
    <x v="0"/>
  </r>
  <r>
    <x v="1"/>
    <x v="1"/>
    <x v="1"/>
    <s v="High"/>
    <x v="155"/>
    <n v="5"/>
    <n v="15"/>
    <x v="158"/>
    <x v="0"/>
    <x v="159"/>
    <x v="155"/>
    <x v="159"/>
    <x v="15"/>
    <n v="3"/>
    <x v="11"/>
    <x v="0"/>
  </r>
  <r>
    <x v="2"/>
    <x v="0"/>
    <x v="1"/>
    <s v="High"/>
    <x v="156"/>
    <n v="5"/>
    <n v="12"/>
    <x v="159"/>
    <x v="0"/>
    <x v="160"/>
    <x v="156"/>
    <x v="160"/>
    <x v="1"/>
    <n v="6"/>
    <x v="1"/>
    <x v="0"/>
  </r>
  <r>
    <x v="2"/>
    <x v="1"/>
    <x v="1"/>
    <s v="High"/>
    <x v="157"/>
    <n v="5"/>
    <n v="12"/>
    <x v="160"/>
    <x v="0"/>
    <x v="161"/>
    <x v="157"/>
    <x v="161"/>
    <x v="1"/>
    <n v="6"/>
    <x v="1"/>
    <x v="0"/>
  </r>
  <r>
    <x v="1"/>
    <x v="4"/>
    <x v="1"/>
    <s v="High"/>
    <x v="154"/>
    <n v="5"/>
    <n v="15"/>
    <x v="157"/>
    <x v="0"/>
    <x v="158"/>
    <x v="154"/>
    <x v="158"/>
    <x v="1"/>
    <n v="6"/>
    <x v="1"/>
    <x v="0"/>
  </r>
  <r>
    <x v="3"/>
    <x v="0"/>
    <x v="1"/>
    <s v="High"/>
    <x v="158"/>
    <n v="5"/>
    <n v="125"/>
    <x v="161"/>
    <x v="0"/>
    <x v="162"/>
    <x v="158"/>
    <x v="162"/>
    <x v="12"/>
    <n v="10"/>
    <x v="5"/>
    <x v="1"/>
  </r>
  <r>
    <x v="1"/>
    <x v="3"/>
    <x v="1"/>
    <s v="High"/>
    <x v="159"/>
    <n v="5"/>
    <n v="15"/>
    <x v="162"/>
    <x v="0"/>
    <x v="163"/>
    <x v="159"/>
    <x v="163"/>
    <x v="3"/>
    <n v="12"/>
    <x v="3"/>
    <x v="0"/>
  </r>
  <r>
    <x v="2"/>
    <x v="1"/>
    <x v="5"/>
    <s v="High"/>
    <x v="160"/>
    <n v="120"/>
    <n v="12"/>
    <x v="163"/>
    <x v="0"/>
    <x v="164"/>
    <x v="160"/>
    <x v="164"/>
    <x v="15"/>
    <n v="3"/>
    <x v="11"/>
    <x v="0"/>
  </r>
  <r>
    <x v="2"/>
    <x v="1"/>
    <x v="5"/>
    <s v="High"/>
    <x v="157"/>
    <n v="120"/>
    <n v="12"/>
    <x v="160"/>
    <x v="0"/>
    <x v="161"/>
    <x v="157"/>
    <x v="161"/>
    <x v="1"/>
    <n v="6"/>
    <x v="1"/>
    <x v="0"/>
  </r>
  <r>
    <x v="3"/>
    <x v="0"/>
    <x v="5"/>
    <s v="High"/>
    <x v="158"/>
    <n v="120"/>
    <n v="125"/>
    <x v="161"/>
    <x v="0"/>
    <x v="162"/>
    <x v="158"/>
    <x v="162"/>
    <x v="12"/>
    <n v="10"/>
    <x v="5"/>
    <x v="1"/>
  </r>
  <r>
    <x v="2"/>
    <x v="1"/>
    <x v="3"/>
    <s v="High"/>
    <x v="161"/>
    <n v="250"/>
    <n v="12"/>
    <x v="164"/>
    <x v="0"/>
    <x v="165"/>
    <x v="161"/>
    <x v="165"/>
    <x v="8"/>
    <n v="4"/>
    <x v="7"/>
    <x v="0"/>
  </r>
  <r>
    <x v="1"/>
    <x v="2"/>
    <x v="3"/>
    <s v="High"/>
    <x v="152"/>
    <n v="250"/>
    <n v="15"/>
    <x v="155"/>
    <x v="0"/>
    <x v="156"/>
    <x v="152"/>
    <x v="156"/>
    <x v="1"/>
    <n v="6"/>
    <x v="1"/>
    <x v="0"/>
  </r>
  <r>
    <x v="1"/>
    <x v="1"/>
    <x v="3"/>
    <s v="High"/>
    <x v="153"/>
    <n v="250"/>
    <n v="15"/>
    <x v="156"/>
    <x v="0"/>
    <x v="157"/>
    <x v="153"/>
    <x v="157"/>
    <x v="1"/>
    <n v="6"/>
    <x v="1"/>
    <x v="0"/>
  </r>
  <r>
    <x v="2"/>
    <x v="3"/>
    <x v="4"/>
    <s v="High"/>
    <x v="162"/>
    <n v="260"/>
    <n v="12"/>
    <x v="165"/>
    <x v="0"/>
    <x v="166"/>
    <x v="162"/>
    <x v="166"/>
    <x v="8"/>
    <n v="4"/>
    <x v="7"/>
    <x v="0"/>
  </r>
  <r>
    <x v="2"/>
    <x v="3"/>
    <x v="4"/>
    <s v="High"/>
    <x v="163"/>
    <n v="260"/>
    <n v="12"/>
    <x v="166"/>
    <x v="0"/>
    <x v="167"/>
    <x v="163"/>
    <x v="167"/>
    <x v="13"/>
    <n v="8"/>
    <x v="10"/>
    <x v="0"/>
  </r>
  <r>
    <x v="1"/>
    <x v="3"/>
    <x v="4"/>
    <s v="High"/>
    <x v="159"/>
    <n v="260"/>
    <n v="15"/>
    <x v="162"/>
    <x v="0"/>
    <x v="163"/>
    <x v="159"/>
    <x v="163"/>
    <x v="3"/>
    <n v="12"/>
    <x v="3"/>
    <x v="0"/>
  </r>
  <r>
    <x v="2"/>
    <x v="3"/>
    <x v="0"/>
    <s v="Low"/>
    <x v="164"/>
    <n v="3"/>
    <n v="12"/>
    <x v="167"/>
    <x v="147"/>
    <x v="168"/>
    <x v="164"/>
    <x v="168"/>
    <x v="2"/>
    <n v="2"/>
    <x v="2"/>
    <x v="0"/>
  </r>
  <r>
    <x v="2"/>
    <x v="0"/>
    <x v="0"/>
    <s v="Low"/>
    <x v="165"/>
    <n v="3"/>
    <n v="12"/>
    <x v="168"/>
    <x v="148"/>
    <x v="169"/>
    <x v="165"/>
    <x v="169"/>
    <x v="11"/>
    <n v="9"/>
    <x v="9"/>
    <x v="0"/>
  </r>
  <r>
    <x v="3"/>
    <x v="3"/>
    <x v="0"/>
    <s v="Low"/>
    <x v="166"/>
    <n v="3"/>
    <n v="125"/>
    <x v="169"/>
    <x v="149"/>
    <x v="170"/>
    <x v="166"/>
    <x v="170"/>
    <x v="10"/>
    <n v="9"/>
    <x v="9"/>
    <x v="1"/>
  </r>
  <r>
    <x v="2"/>
    <x v="2"/>
    <x v="0"/>
    <s v="Low"/>
    <x v="167"/>
    <n v="3"/>
    <n v="12"/>
    <x v="170"/>
    <x v="150"/>
    <x v="171"/>
    <x v="167"/>
    <x v="171"/>
    <x v="11"/>
    <n v="9"/>
    <x v="9"/>
    <x v="0"/>
  </r>
  <r>
    <x v="2"/>
    <x v="1"/>
    <x v="0"/>
    <s v="Low"/>
    <x v="168"/>
    <n v="3"/>
    <n v="12"/>
    <x v="171"/>
    <x v="151"/>
    <x v="172"/>
    <x v="168"/>
    <x v="172"/>
    <x v="12"/>
    <n v="10"/>
    <x v="5"/>
    <x v="1"/>
  </r>
  <r>
    <x v="1"/>
    <x v="4"/>
    <x v="1"/>
    <s v="Low"/>
    <x v="169"/>
    <n v="5"/>
    <n v="15"/>
    <x v="172"/>
    <x v="152"/>
    <x v="173"/>
    <x v="169"/>
    <x v="173"/>
    <x v="15"/>
    <n v="3"/>
    <x v="11"/>
    <x v="0"/>
  </r>
  <r>
    <x v="2"/>
    <x v="3"/>
    <x v="4"/>
    <s v="Low"/>
    <x v="170"/>
    <n v="260"/>
    <n v="12"/>
    <x v="173"/>
    <x v="153"/>
    <x v="174"/>
    <x v="170"/>
    <x v="174"/>
    <x v="10"/>
    <n v="9"/>
    <x v="9"/>
    <x v="1"/>
  </r>
  <r>
    <x v="1"/>
    <x v="2"/>
    <x v="4"/>
    <s v="Low"/>
    <x v="171"/>
    <n v="260"/>
    <n v="15"/>
    <x v="174"/>
    <x v="154"/>
    <x v="175"/>
    <x v="171"/>
    <x v="175"/>
    <x v="14"/>
    <n v="11"/>
    <x v="6"/>
    <x v="1"/>
  </r>
  <r>
    <x v="2"/>
    <x v="0"/>
    <x v="0"/>
    <s v="Low"/>
    <x v="172"/>
    <n v="3"/>
    <n v="12"/>
    <x v="175"/>
    <x v="155"/>
    <x v="176"/>
    <x v="172"/>
    <x v="176"/>
    <x v="5"/>
    <n v="10"/>
    <x v="5"/>
    <x v="0"/>
  </r>
  <r>
    <x v="2"/>
    <x v="3"/>
    <x v="1"/>
    <s v="Low"/>
    <x v="173"/>
    <n v="5"/>
    <n v="12"/>
    <x v="176"/>
    <x v="156"/>
    <x v="177"/>
    <x v="173"/>
    <x v="177"/>
    <x v="1"/>
    <n v="6"/>
    <x v="1"/>
    <x v="0"/>
  </r>
  <r>
    <x v="2"/>
    <x v="4"/>
    <x v="1"/>
    <s v="Low"/>
    <x v="174"/>
    <n v="5"/>
    <n v="12"/>
    <x v="177"/>
    <x v="157"/>
    <x v="178"/>
    <x v="174"/>
    <x v="178"/>
    <x v="7"/>
    <n v="11"/>
    <x v="6"/>
    <x v="0"/>
  </r>
  <r>
    <x v="2"/>
    <x v="2"/>
    <x v="5"/>
    <s v="Low"/>
    <x v="175"/>
    <n v="120"/>
    <n v="12"/>
    <x v="178"/>
    <x v="158"/>
    <x v="179"/>
    <x v="175"/>
    <x v="179"/>
    <x v="3"/>
    <n v="12"/>
    <x v="3"/>
    <x v="0"/>
  </r>
  <r>
    <x v="2"/>
    <x v="4"/>
    <x v="5"/>
    <s v="Low"/>
    <x v="176"/>
    <n v="120"/>
    <n v="12"/>
    <x v="179"/>
    <x v="159"/>
    <x v="180"/>
    <x v="176"/>
    <x v="180"/>
    <x v="3"/>
    <n v="12"/>
    <x v="3"/>
    <x v="0"/>
  </r>
  <r>
    <x v="2"/>
    <x v="3"/>
    <x v="0"/>
    <s v="Low"/>
    <x v="177"/>
    <n v="3"/>
    <n v="12"/>
    <x v="180"/>
    <x v="160"/>
    <x v="181"/>
    <x v="177"/>
    <x v="181"/>
    <x v="11"/>
    <n v="9"/>
    <x v="9"/>
    <x v="0"/>
  </r>
  <r>
    <x v="2"/>
    <x v="0"/>
    <x v="0"/>
    <s v="Low"/>
    <x v="178"/>
    <n v="3"/>
    <n v="12"/>
    <x v="181"/>
    <x v="161"/>
    <x v="182"/>
    <x v="178"/>
    <x v="182"/>
    <x v="6"/>
    <n v="12"/>
    <x v="3"/>
    <x v="1"/>
  </r>
  <r>
    <x v="2"/>
    <x v="2"/>
    <x v="1"/>
    <s v="Low"/>
    <x v="179"/>
    <n v="5"/>
    <n v="12"/>
    <x v="182"/>
    <x v="162"/>
    <x v="183"/>
    <x v="179"/>
    <x v="183"/>
    <x v="1"/>
    <n v="6"/>
    <x v="1"/>
    <x v="0"/>
  </r>
  <r>
    <x v="2"/>
    <x v="4"/>
    <x v="3"/>
    <s v="Low"/>
    <x v="180"/>
    <n v="250"/>
    <n v="12"/>
    <x v="183"/>
    <x v="163"/>
    <x v="184"/>
    <x v="180"/>
    <x v="184"/>
    <x v="8"/>
    <n v="4"/>
    <x v="7"/>
    <x v="0"/>
  </r>
  <r>
    <x v="1"/>
    <x v="1"/>
    <x v="3"/>
    <s v="Low"/>
    <x v="181"/>
    <n v="250"/>
    <n v="15"/>
    <x v="184"/>
    <x v="164"/>
    <x v="185"/>
    <x v="181"/>
    <x v="185"/>
    <x v="12"/>
    <n v="10"/>
    <x v="5"/>
    <x v="1"/>
  </r>
  <r>
    <x v="2"/>
    <x v="1"/>
    <x v="3"/>
    <s v="Low"/>
    <x v="182"/>
    <n v="250"/>
    <n v="12"/>
    <x v="185"/>
    <x v="165"/>
    <x v="186"/>
    <x v="182"/>
    <x v="186"/>
    <x v="0"/>
    <n v="1"/>
    <x v="0"/>
    <x v="0"/>
  </r>
  <r>
    <x v="1"/>
    <x v="4"/>
    <x v="1"/>
    <s v="Low"/>
    <x v="183"/>
    <n v="5"/>
    <n v="15"/>
    <x v="186"/>
    <x v="166"/>
    <x v="187"/>
    <x v="183"/>
    <x v="187"/>
    <x v="5"/>
    <n v="10"/>
    <x v="5"/>
    <x v="0"/>
  </r>
  <r>
    <x v="1"/>
    <x v="0"/>
    <x v="1"/>
    <s v="Low"/>
    <x v="184"/>
    <n v="5"/>
    <n v="15"/>
    <x v="187"/>
    <x v="167"/>
    <x v="188"/>
    <x v="184"/>
    <x v="188"/>
    <x v="15"/>
    <n v="3"/>
    <x v="11"/>
    <x v="0"/>
  </r>
  <r>
    <x v="2"/>
    <x v="3"/>
    <x v="5"/>
    <s v="Low"/>
    <x v="185"/>
    <n v="120"/>
    <n v="12"/>
    <x v="188"/>
    <x v="168"/>
    <x v="189"/>
    <x v="185"/>
    <x v="189"/>
    <x v="15"/>
    <n v="3"/>
    <x v="11"/>
    <x v="0"/>
  </r>
  <r>
    <x v="2"/>
    <x v="2"/>
    <x v="3"/>
    <s v="Low"/>
    <x v="186"/>
    <n v="250"/>
    <n v="12"/>
    <x v="189"/>
    <x v="169"/>
    <x v="190"/>
    <x v="186"/>
    <x v="190"/>
    <x v="9"/>
    <n v="5"/>
    <x v="8"/>
    <x v="0"/>
  </r>
  <r>
    <x v="1"/>
    <x v="4"/>
    <x v="3"/>
    <s v="Low"/>
    <x v="187"/>
    <n v="250"/>
    <n v="15"/>
    <x v="190"/>
    <x v="170"/>
    <x v="191"/>
    <x v="187"/>
    <x v="191"/>
    <x v="12"/>
    <n v="10"/>
    <x v="5"/>
    <x v="1"/>
  </r>
  <r>
    <x v="1"/>
    <x v="3"/>
    <x v="4"/>
    <s v="Low"/>
    <x v="188"/>
    <n v="260"/>
    <n v="15"/>
    <x v="191"/>
    <x v="171"/>
    <x v="192"/>
    <x v="188"/>
    <x v="192"/>
    <x v="12"/>
    <n v="10"/>
    <x v="5"/>
    <x v="1"/>
  </r>
  <r>
    <x v="2"/>
    <x v="0"/>
    <x v="5"/>
    <s v="Medium"/>
    <x v="189"/>
    <n v="120"/>
    <n v="12"/>
    <x v="192"/>
    <x v="172"/>
    <x v="193"/>
    <x v="189"/>
    <x v="193"/>
    <x v="3"/>
    <n v="12"/>
    <x v="3"/>
    <x v="0"/>
  </r>
  <r>
    <x v="2"/>
    <x v="4"/>
    <x v="4"/>
    <s v="Medium"/>
    <x v="27"/>
    <n v="260"/>
    <n v="12"/>
    <x v="193"/>
    <x v="173"/>
    <x v="194"/>
    <x v="190"/>
    <x v="194"/>
    <x v="13"/>
    <n v="8"/>
    <x v="10"/>
    <x v="0"/>
  </r>
  <r>
    <x v="2"/>
    <x v="2"/>
    <x v="0"/>
    <s v="Medium"/>
    <x v="190"/>
    <n v="3"/>
    <n v="12"/>
    <x v="194"/>
    <x v="174"/>
    <x v="195"/>
    <x v="191"/>
    <x v="195"/>
    <x v="2"/>
    <n v="2"/>
    <x v="2"/>
    <x v="0"/>
  </r>
  <r>
    <x v="2"/>
    <x v="1"/>
    <x v="0"/>
    <s v="Medium"/>
    <x v="191"/>
    <n v="3"/>
    <n v="12"/>
    <x v="195"/>
    <x v="175"/>
    <x v="196"/>
    <x v="192"/>
    <x v="196"/>
    <x v="2"/>
    <n v="2"/>
    <x v="2"/>
    <x v="0"/>
  </r>
  <r>
    <x v="1"/>
    <x v="4"/>
    <x v="0"/>
    <s v="Medium"/>
    <x v="192"/>
    <n v="3"/>
    <n v="15"/>
    <x v="196"/>
    <x v="176"/>
    <x v="197"/>
    <x v="193"/>
    <x v="197"/>
    <x v="7"/>
    <n v="11"/>
    <x v="6"/>
    <x v="0"/>
  </r>
  <r>
    <x v="2"/>
    <x v="1"/>
    <x v="1"/>
    <s v="Medium"/>
    <x v="193"/>
    <n v="5"/>
    <n v="12"/>
    <x v="197"/>
    <x v="177"/>
    <x v="198"/>
    <x v="194"/>
    <x v="198"/>
    <x v="7"/>
    <n v="11"/>
    <x v="6"/>
    <x v="0"/>
  </r>
  <r>
    <x v="1"/>
    <x v="3"/>
    <x v="5"/>
    <s v="Medium"/>
    <x v="194"/>
    <n v="120"/>
    <n v="15"/>
    <x v="198"/>
    <x v="178"/>
    <x v="199"/>
    <x v="195"/>
    <x v="199"/>
    <x v="0"/>
    <n v="1"/>
    <x v="0"/>
    <x v="0"/>
  </r>
  <r>
    <x v="1"/>
    <x v="4"/>
    <x v="5"/>
    <s v="Medium"/>
    <x v="195"/>
    <n v="120"/>
    <n v="15"/>
    <x v="199"/>
    <x v="179"/>
    <x v="200"/>
    <x v="196"/>
    <x v="200"/>
    <x v="0"/>
    <n v="1"/>
    <x v="0"/>
    <x v="0"/>
  </r>
  <r>
    <x v="1"/>
    <x v="0"/>
    <x v="0"/>
    <s v="Medium"/>
    <x v="196"/>
    <n v="3"/>
    <n v="15"/>
    <x v="200"/>
    <x v="180"/>
    <x v="201"/>
    <x v="197"/>
    <x v="201"/>
    <x v="1"/>
    <n v="6"/>
    <x v="1"/>
    <x v="0"/>
  </r>
  <r>
    <x v="2"/>
    <x v="4"/>
    <x v="0"/>
    <s v="Medium"/>
    <x v="197"/>
    <n v="3"/>
    <n v="12"/>
    <x v="201"/>
    <x v="181"/>
    <x v="202"/>
    <x v="198"/>
    <x v="202"/>
    <x v="11"/>
    <n v="9"/>
    <x v="9"/>
    <x v="0"/>
  </r>
  <r>
    <x v="2"/>
    <x v="0"/>
    <x v="0"/>
    <s v="Medium"/>
    <x v="198"/>
    <n v="3"/>
    <n v="12"/>
    <x v="202"/>
    <x v="182"/>
    <x v="203"/>
    <x v="199"/>
    <x v="203"/>
    <x v="12"/>
    <n v="10"/>
    <x v="5"/>
    <x v="1"/>
  </r>
  <r>
    <x v="1"/>
    <x v="3"/>
    <x v="0"/>
    <s v="Medium"/>
    <x v="199"/>
    <n v="3"/>
    <n v="15"/>
    <x v="203"/>
    <x v="183"/>
    <x v="204"/>
    <x v="200"/>
    <x v="204"/>
    <x v="7"/>
    <n v="11"/>
    <x v="6"/>
    <x v="0"/>
  </r>
  <r>
    <x v="2"/>
    <x v="3"/>
    <x v="1"/>
    <s v="Medium"/>
    <x v="200"/>
    <n v="5"/>
    <n v="12"/>
    <x v="204"/>
    <x v="184"/>
    <x v="205"/>
    <x v="201"/>
    <x v="205"/>
    <x v="7"/>
    <n v="11"/>
    <x v="6"/>
    <x v="0"/>
  </r>
  <r>
    <x v="1"/>
    <x v="1"/>
    <x v="5"/>
    <s v="Medium"/>
    <x v="201"/>
    <n v="120"/>
    <n v="15"/>
    <x v="205"/>
    <x v="185"/>
    <x v="206"/>
    <x v="202"/>
    <x v="206"/>
    <x v="9"/>
    <n v="5"/>
    <x v="8"/>
    <x v="0"/>
  </r>
  <r>
    <x v="1"/>
    <x v="0"/>
    <x v="3"/>
    <s v="Medium"/>
    <x v="196"/>
    <n v="250"/>
    <n v="15"/>
    <x v="200"/>
    <x v="180"/>
    <x v="201"/>
    <x v="197"/>
    <x v="201"/>
    <x v="1"/>
    <n v="6"/>
    <x v="1"/>
    <x v="0"/>
  </r>
  <r>
    <x v="1"/>
    <x v="3"/>
    <x v="3"/>
    <s v="Medium"/>
    <x v="202"/>
    <n v="250"/>
    <n v="15"/>
    <x v="206"/>
    <x v="186"/>
    <x v="207"/>
    <x v="203"/>
    <x v="207"/>
    <x v="5"/>
    <n v="10"/>
    <x v="5"/>
    <x v="0"/>
  </r>
  <r>
    <x v="2"/>
    <x v="4"/>
    <x v="0"/>
    <s v="Medium"/>
    <x v="203"/>
    <n v="3"/>
    <n v="12"/>
    <x v="207"/>
    <x v="187"/>
    <x v="208"/>
    <x v="204"/>
    <x v="208"/>
    <x v="2"/>
    <n v="2"/>
    <x v="2"/>
    <x v="0"/>
  </r>
  <r>
    <x v="2"/>
    <x v="0"/>
    <x v="0"/>
    <s v="Medium"/>
    <x v="204"/>
    <n v="3"/>
    <n v="12"/>
    <x v="208"/>
    <x v="188"/>
    <x v="209"/>
    <x v="205"/>
    <x v="209"/>
    <x v="13"/>
    <n v="8"/>
    <x v="10"/>
    <x v="0"/>
  </r>
  <r>
    <x v="2"/>
    <x v="4"/>
    <x v="1"/>
    <s v="Medium"/>
    <x v="205"/>
    <n v="5"/>
    <n v="12"/>
    <x v="209"/>
    <x v="189"/>
    <x v="210"/>
    <x v="206"/>
    <x v="210"/>
    <x v="0"/>
    <n v="1"/>
    <x v="0"/>
    <x v="0"/>
  </r>
  <r>
    <x v="2"/>
    <x v="2"/>
    <x v="1"/>
    <s v="Medium"/>
    <x v="193"/>
    <n v="5"/>
    <n v="12"/>
    <x v="197"/>
    <x v="190"/>
    <x v="211"/>
    <x v="194"/>
    <x v="211"/>
    <x v="7"/>
    <n v="11"/>
    <x v="6"/>
    <x v="0"/>
  </r>
  <r>
    <x v="1"/>
    <x v="0"/>
    <x v="5"/>
    <s v="Medium"/>
    <x v="206"/>
    <n v="120"/>
    <n v="15"/>
    <x v="210"/>
    <x v="191"/>
    <x v="212"/>
    <x v="207"/>
    <x v="212"/>
    <x v="9"/>
    <n v="5"/>
    <x v="8"/>
    <x v="0"/>
  </r>
  <r>
    <x v="2"/>
    <x v="2"/>
    <x v="3"/>
    <s v="Medium"/>
    <x v="207"/>
    <n v="250"/>
    <n v="12"/>
    <x v="211"/>
    <x v="192"/>
    <x v="213"/>
    <x v="208"/>
    <x v="213"/>
    <x v="8"/>
    <n v="4"/>
    <x v="7"/>
    <x v="0"/>
  </r>
  <r>
    <x v="2"/>
    <x v="1"/>
    <x v="3"/>
    <s v="Medium"/>
    <x v="208"/>
    <n v="250"/>
    <n v="12"/>
    <x v="212"/>
    <x v="193"/>
    <x v="214"/>
    <x v="209"/>
    <x v="214"/>
    <x v="10"/>
    <n v="9"/>
    <x v="9"/>
    <x v="1"/>
  </r>
  <r>
    <x v="2"/>
    <x v="0"/>
    <x v="3"/>
    <s v="Medium"/>
    <x v="209"/>
    <n v="250"/>
    <n v="12"/>
    <x v="213"/>
    <x v="194"/>
    <x v="215"/>
    <x v="210"/>
    <x v="215"/>
    <x v="0"/>
    <n v="1"/>
    <x v="0"/>
    <x v="0"/>
  </r>
  <r>
    <x v="1"/>
    <x v="2"/>
    <x v="0"/>
    <s v="Medium"/>
    <x v="210"/>
    <n v="3"/>
    <n v="15"/>
    <x v="214"/>
    <x v="195"/>
    <x v="216"/>
    <x v="211"/>
    <x v="216"/>
    <x v="7"/>
    <n v="11"/>
    <x v="6"/>
    <x v="0"/>
  </r>
  <r>
    <x v="1"/>
    <x v="2"/>
    <x v="1"/>
    <s v="Medium"/>
    <x v="211"/>
    <n v="5"/>
    <n v="15"/>
    <x v="215"/>
    <x v="196"/>
    <x v="217"/>
    <x v="212"/>
    <x v="217"/>
    <x v="15"/>
    <n v="3"/>
    <x v="11"/>
    <x v="0"/>
  </r>
  <r>
    <x v="1"/>
    <x v="1"/>
    <x v="1"/>
    <s v="Medium"/>
    <x v="212"/>
    <n v="5"/>
    <n v="15"/>
    <x v="216"/>
    <x v="197"/>
    <x v="218"/>
    <x v="213"/>
    <x v="218"/>
    <x v="3"/>
    <n v="12"/>
    <x v="3"/>
    <x v="0"/>
  </r>
  <r>
    <x v="2"/>
    <x v="0"/>
    <x v="5"/>
    <s v="Medium"/>
    <x v="213"/>
    <n v="120"/>
    <n v="12"/>
    <x v="217"/>
    <x v="198"/>
    <x v="219"/>
    <x v="214"/>
    <x v="219"/>
    <x v="15"/>
    <n v="3"/>
    <x v="11"/>
    <x v="0"/>
  </r>
  <r>
    <x v="1"/>
    <x v="1"/>
    <x v="4"/>
    <s v="Medium"/>
    <x v="212"/>
    <n v="260"/>
    <n v="15"/>
    <x v="216"/>
    <x v="197"/>
    <x v="218"/>
    <x v="213"/>
    <x v="218"/>
    <x v="3"/>
    <n v="12"/>
    <x v="3"/>
    <x v="0"/>
  </r>
  <r>
    <x v="2"/>
    <x v="4"/>
    <x v="4"/>
    <s v="Medium"/>
    <x v="214"/>
    <n v="260"/>
    <n v="12"/>
    <x v="218"/>
    <x v="199"/>
    <x v="220"/>
    <x v="215"/>
    <x v="220"/>
    <x v="6"/>
    <n v="12"/>
    <x v="3"/>
    <x v="1"/>
  </r>
  <r>
    <x v="2"/>
    <x v="4"/>
    <x v="0"/>
    <s v="Medium"/>
    <x v="215"/>
    <n v="3"/>
    <n v="12"/>
    <x v="219"/>
    <x v="200"/>
    <x v="221"/>
    <x v="216"/>
    <x v="221"/>
    <x v="12"/>
    <n v="10"/>
    <x v="5"/>
    <x v="1"/>
  </r>
  <r>
    <x v="2"/>
    <x v="0"/>
    <x v="1"/>
    <s v="Medium"/>
    <x v="216"/>
    <n v="5"/>
    <n v="12"/>
    <x v="220"/>
    <x v="201"/>
    <x v="222"/>
    <x v="217"/>
    <x v="222"/>
    <x v="7"/>
    <n v="11"/>
    <x v="6"/>
    <x v="0"/>
  </r>
  <r>
    <x v="1"/>
    <x v="4"/>
    <x v="5"/>
    <s v="Medium"/>
    <x v="217"/>
    <n v="120"/>
    <n v="15"/>
    <x v="221"/>
    <x v="202"/>
    <x v="223"/>
    <x v="218"/>
    <x v="223"/>
    <x v="9"/>
    <n v="5"/>
    <x v="8"/>
    <x v="0"/>
  </r>
  <r>
    <x v="2"/>
    <x v="3"/>
    <x v="3"/>
    <s v="Medium"/>
    <x v="218"/>
    <n v="250"/>
    <n v="12"/>
    <x v="222"/>
    <x v="203"/>
    <x v="224"/>
    <x v="219"/>
    <x v="224"/>
    <x v="0"/>
    <n v="1"/>
    <x v="0"/>
    <x v="0"/>
  </r>
  <r>
    <x v="2"/>
    <x v="1"/>
    <x v="3"/>
    <s v="Medium"/>
    <x v="219"/>
    <n v="250"/>
    <n v="12"/>
    <x v="223"/>
    <x v="204"/>
    <x v="225"/>
    <x v="220"/>
    <x v="225"/>
    <x v="9"/>
    <n v="5"/>
    <x v="8"/>
    <x v="0"/>
  </r>
  <r>
    <x v="2"/>
    <x v="2"/>
    <x v="3"/>
    <s v="Medium"/>
    <x v="220"/>
    <n v="250"/>
    <n v="12"/>
    <x v="224"/>
    <x v="205"/>
    <x v="226"/>
    <x v="221"/>
    <x v="226"/>
    <x v="10"/>
    <n v="9"/>
    <x v="9"/>
    <x v="1"/>
  </r>
  <r>
    <x v="1"/>
    <x v="2"/>
    <x v="3"/>
    <s v="Medium"/>
    <x v="221"/>
    <n v="250"/>
    <n v="15"/>
    <x v="225"/>
    <x v="206"/>
    <x v="227"/>
    <x v="222"/>
    <x v="227"/>
    <x v="5"/>
    <n v="10"/>
    <x v="5"/>
    <x v="0"/>
  </r>
  <r>
    <x v="1"/>
    <x v="1"/>
    <x v="4"/>
    <s v="Medium"/>
    <x v="222"/>
    <n v="260"/>
    <n v="15"/>
    <x v="226"/>
    <x v="207"/>
    <x v="228"/>
    <x v="223"/>
    <x v="228"/>
    <x v="14"/>
    <n v="11"/>
    <x v="6"/>
    <x v="1"/>
  </r>
  <r>
    <x v="2"/>
    <x v="1"/>
    <x v="0"/>
    <s v="Medium"/>
    <x v="223"/>
    <n v="3"/>
    <n v="12"/>
    <x v="227"/>
    <x v="208"/>
    <x v="229"/>
    <x v="224"/>
    <x v="229"/>
    <x v="11"/>
    <n v="9"/>
    <x v="9"/>
    <x v="0"/>
  </r>
  <r>
    <x v="2"/>
    <x v="2"/>
    <x v="5"/>
    <s v="Medium"/>
    <x v="184"/>
    <n v="120"/>
    <n v="12"/>
    <x v="228"/>
    <x v="209"/>
    <x v="230"/>
    <x v="225"/>
    <x v="230"/>
    <x v="15"/>
    <n v="3"/>
    <x v="11"/>
    <x v="0"/>
  </r>
  <r>
    <x v="1"/>
    <x v="4"/>
    <x v="5"/>
    <s v="Medium"/>
    <x v="224"/>
    <n v="120"/>
    <n v="15"/>
    <x v="229"/>
    <x v="210"/>
    <x v="231"/>
    <x v="226"/>
    <x v="231"/>
    <x v="8"/>
    <n v="4"/>
    <x v="7"/>
    <x v="0"/>
  </r>
  <r>
    <x v="1"/>
    <x v="0"/>
    <x v="4"/>
    <s v="Medium"/>
    <x v="225"/>
    <n v="260"/>
    <n v="15"/>
    <x v="230"/>
    <x v="211"/>
    <x v="232"/>
    <x v="227"/>
    <x v="232"/>
    <x v="4"/>
    <n v="7"/>
    <x v="4"/>
    <x v="0"/>
  </r>
  <r>
    <x v="2"/>
    <x v="2"/>
    <x v="4"/>
    <s v="Medium"/>
    <x v="226"/>
    <n v="260"/>
    <n v="12"/>
    <x v="231"/>
    <x v="212"/>
    <x v="233"/>
    <x v="228"/>
    <x v="233"/>
    <x v="6"/>
    <n v="12"/>
    <x v="3"/>
    <x v="1"/>
  </r>
  <r>
    <x v="2"/>
    <x v="3"/>
    <x v="0"/>
    <s v="High"/>
    <x v="227"/>
    <n v="3"/>
    <n v="12"/>
    <x v="232"/>
    <x v="213"/>
    <x v="234"/>
    <x v="229"/>
    <x v="234"/>
    <x v="12"/>
    <n v="10"/>
    <x v="5"/>
    <x v="1"/>
  </r>
  <r>
    <x v="1"/>
    <x v="2"/>
    <x v="1"/>
    <s v="High"/>
    <x v="228"/>
    <n v="5"/>
    <n v="15"/>
    <x v="233"/>
    <x v="214"/>
    <x v="235"/>
    <x v="230"/>
    <x v="235"/>
    <x v="3"/>
    <n v="12"/>
    <x v="3"/>
    <x v="0"/>
  </r>
  <r>
    <x v="1"/>
    <x v="1"/>
    <x v="5"/>
    <s v="High"/>
    <x v="229"/>
    <n v="120"/>
    <n v="15"/>
    <x v="234"/>
    <x v="215"/>
    <x v="236"/>
    <x v="231"/>
    <x v="236"/>
    <x v="0"/>
    <n v="1"/>
    <x v="0"/>
    <x v="0"/>
  </r>
  <r>
    <x v="1"/>
    <x v="1"/>
    <x v="5"/>
    <s v="High"/>
    <x v="230"/>
    <n v="120"/>
    <n v="15"/>
    <x v="235"/>
    <x v="216"/>
    <x v="237"/>
    <x v="232"/>
    <x v="237"/>
    <x v="8"/>
    <n v="4"/>
    <x v="7"/>
    <x v="0"/>
  </r>
  <r>
    <x v="1"/>
    <x v="3"/>
    <x v="5"/>
    <s v="High"/>
    <x v="231"/>
    <n v="120"/>
    <n v="15"/>
    <x v="236"/>
    <x v="217"/>
    <x v="238"/>
    <x v="233"/>
    <x v="238"/>
    <x v="9"/>
    <n v="5"/>
    <x v="8"/>
    <x v="0"/>
  </r>
  <r>
    <x v="3"/>
    <x v="4"/>
    <x v="3"/>
    <s v="High"/>
    <x v="232"/>
    <n v="250"/>
    <n v="125"/>
    <x v="237"/>
    <x v="218"/>
    <x v="239"/>
    <x v="234"/>
    <x v="239"/>
    <x v="9"/>
    <n v="5"/>
    <x v="8"/>
    <x v="0"/>
  </r>
  <r>
    <x v="1"/>
    <x v="4"/>
    <x v="3"/>
    <s v="High"/>
    <x v="233"/>
    <n v="250"/>
    <n v="15"/>
    <x v="238"/>
    <x v="219"/>
    <x v="240"/>
    <x v="235"/>
    <x v="240"/>
    <x v="4"/>
    <n v="7"/>
    <x v="4"/>
    <x v="0"/>
  </r>
  <r>
    <x v="1"/>
    <x v="2"/>
    <x v="3"/>
    <s v="High"/>
    <x v="234"/>
    <n v="250"/>
    <n v="15"/>
    <x v="239"/>
    <x v="220"/>
    <x v="241"/>
    <x v="236"/>
    <x v="241"/>
    <x v="12"/>
    <n v="10"/>
    <x v="5"/>
    <x v="1"/>
  </r>
  <r>
    <x v="2"/>
    <x v="0"/>
    <x v="4"/>
    <s v="High"/>
    <x v="235"/>
    <n v="260"/>
    <n v="12"/>
    <x v="240"/>
    <x v="221"/>
    <x v="242"/>
    <x v="237"/>
    <x v="242"/>
    <x v="8"/>
    <n v="4"/>
    <x v="7"/>
    <x v="0"/>
  </r>
  <r>
    <x v="2"/>
    <x v="1"/>
    <x v="4"/>
    <s v="High"/>
    <x v="236"/>
    <n v="260"/>
    <n v="12"/>
    <x v="241"/>
    <x v="222"/>
    <x v="243"/>
    <x v="238"/>
    <x v="243"/>
    <x v="13"/>
    <n v="8"/>
    <x v="10"/>
    <x v="0"/>
  </r>
  <r>
    <x v="1"/>
    <x v="2"/>
    <x v="4"/>
    <s v="High"/>
    <x v="228"/>
    <n v="260"/>
    <n v="15"/>
    <x v="233"/>
    <x v="214"/>
    <x v="235"/>
    <x v="230"/>
    <x v="235"/>
    <x v="3"/>
    <n v="12"/>
    <x v="3"/>
    <x v="0"/>
  </r>
  <r>
    <x v="2"/>
    <x v="2"/>
    <x v="0"/>
    <s v="High"/>
    <x v="237"/>
    <n v="3"/>
    <n v="12"/>
    <x v="242"/>
    <x v="223"/>
    <x v="244"/>
    <x v="239"/>
    <x v="244"/>
    <x v="12"/>
    <n v="10"/>
    <x v="5"/>
    <x v="1"/>
  </r>
  <r>
    <x v="1"/>
    <x v="0"/>
    <x v="5"/>
    <s v="High"/>
    <x v="238"/>
    <n v="120"/>
    <n v="15"/>
    <x v="243"/>
    <x v="224"/>
    <x v="245"/>
    <x v="240"/>
    <x v="245"/>
    <x v="0"/>
    <n v="1"/>
    <x v="0"/>
    <x v="0"/>
  </r>
  <r>
    <x v="2"/>
    <x v="1"/>
    <x v="5"/>
    <s v="High"/>
    <x v="239"/>
    <n v="120"/>
    <n v="12"/>
    <x v="244"/>
    <x v="225"/>
    <x v="246"/>
    <x v="241"/>
    <x v="246"/>
    <x v="5"/>
    <n v="10"/>
    <x v="5"/>
    <x v="0"/>
  </r>
  <r>
    <x v="2"/>
    <x v="4"/>
    <x v="3"/>
    <s v="High"/>
    <x v="240"/>
    <n v="250"/>
    <n v="12"/>
    <x v="245"/>
    <x v="226"/>
    <x v="247"/>
    <x v="242"/>
    <x v="247"/>
    <x v="10"/>
    <n v="9"/>
    <x v="9"/>
    <x v="1"/>
  </r>
  <r>
    <x v="1"/>
    <x v="3"/>
    <x v="4"/>
    <s v="High"/>
    <x v="241"/>
    <n v="260"/>
    <n v="15"/>
    <x v="246"/>
    <x v="227"/>
    <x v="248"/>
    <x v="243"/>
    <x v="248"/>
    <x v="4"/>
    <n v="7"/>
    <x v="4"/>
    <x v="0"/>
  </r>
  <r>
    <x v="2"/>
    <x v="1"/>
    <x v="4"/>
    <s v="High"/>
    <x v="239"/>
    <n v="260"/>
    <n v="12"/>
    <x v="244"/>
    <x v="225"/>
    <x v="246"/>
    <x v="241"/>
    <x v="246"/>
    <x v="5"/>
    <n v="10"/>
    <x v="5"/>
    <x v="0"/>
  </r>
  <r>
    <x v="2"/>
    <x v="0"/>
    <x v="0"/>
    <s v="High"/>
    <x v="242"/>
    <n v="3"/>
    <n v="12"/>
    <x v="247"/>
    <x v="228"/>
    <x v="249"/>
    <x v="244"/>
    <x v="249"/>
    <x v="2"/>
    <n v="2"/>
    <x v="2"/>
    <x v="0"/>
  </r>
  <r>
    <x v="1"/>
    <x v="0"/>
    <x v="0"/>
    <s v="High"/>
    <x v="243"/>
    <n v="3"/>
    <n v="15"/>
    <x v="248"/>
    <x v="229"/>
    <x v="250"/>
    <x v="245"/>
    <x v="250"/>
    <x v="14"/>
    <n v="11"/>
    <x v="6"/>
    <x v="1"/>
  </r>
  <r>
    <x v="1"/>
    <x v="4"/>
    <x v="1"/>
    <s v="High"/>
    <x v="244"/>
    <n v="5"/>
    <n v="15"/>
    <x v="249"/>
    <x v="230"/>
    <x v="251"/>
    <x v="246"/>
    <x v="251"/>
    <x v="3"/>
    <n v="12"/>
    <x v="3"/>
    <x v="0"/>
  </r>
  <r>
    <x v="1"/>
    <x v="4"/>
    <x v="5"/>
    <s v="High"/>
    <x v="245"/>
    <n v="120"/>
    <n v="15"/>
    <x v="250"/>
    <x v="231"/>
    <x v="252"/>
    <x v="247"/>
    <x v="252"/>
    <x v="10"/>
    <n v="9"/>
    <x v="9"/>
    <x v="1"/>
  </r>
  <r>
    <x v="2"/>
    <x v="2"/>
    <x v="3"/>
    <s v="High"/>
    <x v="246"/>
    <n v="250"/>
    <n v="12"/>
    <x v="251"/>
    <x v="232"/>
    <x v="253"/>
    <x v="248"/>
    <x v="253"/>
    <x v="0"/>
    <n v="1"/>
    <x v="0"/>
    <x v="0"/>
  </r>
  <r>
    <x v="1"/>
    <x v="4"/>
    <x v="4"/>
    <s v="High"/>
    <x v="244"/>
    <n v="260"/>
    <n v="15"/>
    <x v="249"/>
    <x v="230"/>
    <x v="251"/>
    <x v="246"/>
    <x v="251"/>
    <x v="3"/>
    <n v="12"/>
    <x v="3"/>
    <x v="0"/>
  </r>
  <r>
    <x v="1"/>
    <x v="0"/>
    <x v="0"/>
    <s v="High"/>
    <x v="100"/>
    <n v="3"/>
    <n v="15"/>
    <x v="252"/>
    <x v="233"/>
    <x v="254"/>
    <x v="249"/>
    <x v="254"/>
    <x v="7"/>
    <n v="11"/>
    <x v="6"/>
    <x v="0"/>
  </r>
  <r>
    <x v="1"/>
    <x v="3"/>
    <x v="1"/>
    <s v="High"/>
    <x v="247"/>
    <n v="5"/>
    <n v="15"/>
    <x v="253"/>
    <x v="166"/>
    <x v="255"/>
    <x v="250"/>
    <x v="255"/>
    <x v="15"/>
    <n v="3"/>
    <x v="11"/>
    <x v="0"/>
  </r>
  <r>
    <x v="2"/>
    <x v="0"/>
    <x v="3"/>
    <s v="High"/>
    <x v="248"/>
    <n v="250"/>
    <n v="12"/>
    <x v="254"/>
    <x v="234"/>
    <x v="256"/>
    <x v="251"/>
    <x v="256"/>
    <x v="9"/>
    <n v="5"/>
    <x v="8"/>
    <x v="0"/>
  </r>
  <r>
    <x v="1"/>
    <x v="2"/>
    <x v="3"/>
    <s v="High"/>
    <x v="249"/>
    <n v="250"/>
    <n v="15"/>
    <x v="255"/>
    <x v="235"/>
    <x v="257"/>
    <x v="252"/>
    <x v="257"/>
    <x v="4"/>
    <n v="7"/>
    <x v="4"/>
    <x v="0"/>
  </r>
  <r>
    <x v="1"/>
    <x v="3"/>
    <x v="4"/>
    <s v="High"/>
    <x v="250"/>
    <n v="260"/>
    <n v="15"/>
    <x v="256"/>
    <x v="236"/>
    <x v="258"/>
    <x v="253"/>
    <x v="258"/>
    <x v="14"/>
    <n v="11"/>
    <x v="6"/>
    <x v="1"/>
  </r>
  <r>
    <x v="2"/>
    <x v="4"/>
    <x v="1"/>
    <s v="High"/>
    <x v="251"/>
    <n v="5"/>
    <n v="12"/>
    <x v="257"/>
    <x v="237"/>
    <x v="259"/>
    <x v="254"/>
    <x v="259"/>
    <x v="9"/>
    <n v="5"/>
    <x v="8"/>
    <x v="0"/>
  </r>
  <r>
    <x v="2"/>
    <x v="0"/>
    <x v="4"/>
    <s v="High"/>
    <x v="252"/>
    <n v="260"/>
    <n v="12"/>
    <x v="258"/>
    <x v="238"/>
    <x v="260"/>
    <x v="255"/>
    <x v="260"/>
    <x v="10"/>
    <n v="9"/>
    <x v="9"/>
    <x v="1"/>
  </r>
  <r>
    <x v="1"/>
    <x v="3"/>
    <x v="0"/>
    <s v="High"/>
    <x v="253"/>
    <n v="3"/>
    <n v="15"/>
    <x v="259"/>
    <x v="239"/>
    <x v="261"/>
    <x v="256"/>
    <x v="261"/>
    <x v="1"/>
    <n v="6"/>
    <x v="1"/>
    <x v="0"/>
  </r>
  <r>
    <x v="1"/>
    <x v="3"/>
    <x v="3"/>
    <s v="High"/>
    <x v="253"/>
    <n v="250"/>
    <n v="15"/>
    <x v="259"/>
    <x v="239"/>
    <x v="261"/>
    <x v="256"/>
    <x v="261"/>
    <x v="1"/>
    <n v="6"/>
    <x v="1"/>
    <x v="0"/>
  </r>
  <r>
    <x v="2"/>
    <x v="4"/>
    <x v="1"/>
    <s v="High"/>
    <x v="254"/>
    <n v="5"/>
    <n v="12"/>
    <x v="260"/>
    <x v="240"/>
    <x v="262"/>
    <x v="257"/>
    <x v="262"/>
    <x v="1"/>
    <n v="6"/>
    <x v="1"/>
    <x v="0"/>
  </r>
  <r>
    <x v="1"/>
    <x v="2"/>
    <x v="5"/>
    <s v="High"/>
    <x v="255"/>
    <n v="120"/>
    <n v="15"/>
    <x v="261"/>
    <x v="241"/>
    <x v="263"/>
    <x v="258"/>
    <x v="263"/>
    <x v="0"/>
    <n v="1"/>
    <x v="0"/>
    <x v="0"/>
  </r>
  <r>
    <x v="2"/>
    <x v="4"/>
    <x v="5"/>
    <s v="High"/>
    <x v="254"/>
    <n v="120"/>
    <n v="12"/>
    <x v="260"/>
    <x v="240"/>
    <x v="262"/>
    <x v="257"/>
    <x v="262"/>
    <x v="1"/>
    <n v="6"/>
    <x v="1"/>
    <x v="0"/>
  </r>
  <r>
    <x v="1"/>
    <x v="1"/>
    <x v="5"/>
    <s v="High"/>
    <x v="256"/>
    <n v="120"/>
    <n v="15"/>
    <x v="262"/>
    <x v="242"/>
    <x v="264"/>
    <x v="259"/>
    <x v="264"/>
    <x v="10"/>
    <n v="9"/>
    <x v="9"/>
    <x v="1"/>
  </r>
  <r>
    <x v="2"/>
    <x v="4"/>
    <x v="5"/>
    <s v="High"/>
    <x v="257"/>
    <n v="120"/>
    <n v="12"/>
    <x v="263"/>
    <x v="243"/>
    <x v="265"/>
    <x v="260"/>
    <x v="265"/>
    <x v="5"/>
    <n v="10"/>
    <x v="5"/>
    <x v="0"/>
  </r>
  <r>
    <x v="2"/>
    <x v="1"/>
    <x v="5"/>
    <s v="High"/>
    <x v="258"/>
    <n v="120"/>
    <n v="12"/>
    <x v="264"/>
    <x v="244"/>
    <x v="266"/>
    <x v="261"/>
    <x v="266"/>
    <x v="3"/>
    <n v="12"/>
    <x v="3"/>
    <x v="0"/>
  </r>
  <r>
    <x v="1"/>
    <x v="0"/>
    <x v="3"/>
    <s v="High"/>
    <x v="259"/>
    <n v="250"/>
    <n v="15"/>
    <x v="265"/>
    <x v="245"/>
    <x v="267"/>
    <x v="262"/>
    <x v="267"/>
    <x v="5"/>
    <n v="10"/>
    <x v="5"/>
    <x v="0"/>
  </r>
  <r>
    <x v="2"/>
    <x v="4"/>
    <x v="4"/>
    <s v="High"/>
    <x v="257"/>
    <n v="260"/>
    <n v="12"/>
    <x v="263"/>
    <x v="243"/>
    <x v="265"/>
    <x v="260"/>
    <x v="265"/>
    <x v="5"/>
    <n v="10"/>
    <x v="5"/>
    <x v="0"/>
  </r>
  <r>
    <x v="2"/>
    <x v="1"/>
    <x v="4"/>
    <s v="High"/>
    <x v="260"/>
    <n v="260"/>
    <n v="12"/>
    <x v="266"/>
    <x v="246"/>
    <x v="268"/>
    <x v="263"/>
    <x v="268"/>
    <x v="6"/>
    <n v="12"/>
    <x v="3"/>
    <x v="1"/>
  </r>
  <r>
    <x v="2"/>
    <x v="2"/>
    <x v="4"/>
    <s v="High"/>
    <x v="261"/>
    <n v="260"/>
    <n v="12"/>
    <x v="267"/>
    <x v="247"/>
    <x v="269"/>
    <x v="264"/>
    <x v="269"/>
    <x v="5"/>
    <n v="10"/>
    <x v="5"/>
    <x v="0"/>
  </r>
  <r>
    <x v="2"/>
    <x v="3"/>
    <x v="4"/>
    <s v="High"/>
    <x v="262"/>
    <n v="260"/>
    <n v="12"/>
    <x v="268"/>
    <x v="248"/>
    <x v="36"/>
    <x v="265"/>
    <x v="270"/>
    <x v="6"/>
    <n v="12"/>
    <x v="3"/>
    <x v="1"/>
  </r>
  <r>
    <x v="1"/>
    <x v="1"/>
    <x v="0"/>
    <s v="High"/>
    <x v="263"/>
    <n v="3"/>
    <n v="15"/>
    <x v="269"/>
    <x v="249"/>
    <x v="270"/>
    <x v="266"/>
    <x v="271"/>
    <x v="7"/>
    <n v="11"/>
    <x v="6"/>
    <x v="0"/>
  </r>
  <r>
    <x v="1"/>
    <x v="0"/>
    <x v="0"/>
    <s v="High"/>
    <x v="264"/>
    <n v="3"/>
    <n v="15"/>
    <x v="270"/>
    <x v="250"/>
    <x v="271"/>
    <x v="267"/>
    <x v="272"/>
    <x v="3"/>
    <n v="12"/>
    <x v="3"/>
    <x v="0"/>
  </r>
  <r>
    <x v="1"/>
    <x v="0"/>
    <x v="1"/>
    <s v="High"/>
    <x v="264"/>
    <n v="5"/>
    <n v="15"/>
    <x v="270"/>
    <x v="250"/>
    <x v="271"/>
    <x v="267"/>
    <x v="272"/>
    <x v="3"/>
    <n v="12"/>
    <x v="3"/>
    <x v="0"/>
  </r>
  <r>
    <x v="2"/>
    <x v="2"/>
    <x v="4"/>
    <s v="High"/>
    <x v="265"/>
    <n v="260"/>
    <n v="12"/>
    <x v="271"/>
    <x v="251"/>
    <x v="272"/>
    <x v="268"/>
    <x v="273"/>
    <x v="13"/>
    <n v="8"/>
    <x v="10"/>
    <x v="0"/>
  </r>
  <r>
    <x v="1"/>
    <x v="0"/>
    <x v="4"/>
    <s v="High"/>
    <x v="70"/>
    <n v="260"/>
    <n v="15"/>
    <x v="272"/>
    <x v="252"/>
    <x v="273"/>
    <x v="70"/>
    <x v="274"/>
    <x v="12"/>
    <n v="10"/>
    <x v="5"/>
    <x v="1"/>
  </r>
  <r>
    <x v="2"/>
    <x v="3"/>
    <x v="4"/>
    <s v="High"/>
    <x v="266"/>
    <n v="260"/>
    <n v="12"/>
    <x v="273"/>
    <x v="253"/>
    <x v="274"/>
    <x v="269"/>
    <x v="275"/>
    <x v="5"/>
    <n v="10"/>
    <x v="5"/>
    <x v="0"/>
  </r>
  <r>
    <x v="1"/>
    <x v="4"/>
    <x v="4"/>
    <s v="High"/>
    <x v="267"/>
    <n v="260"/>
    <n v="15"/>
    <x v="274"/>
    <x v="254"/>
    <x v="275"/>
    <x v="270"/>
    <x v="276"/>
    <x v="14"/>
    <n v="11"/>
    <x v="6"/>
    <x v="1"/>
  </r>
  <r>
    <x v="2"/>
    <x v="4"/>
    <x v="5"/>
    <s v="High"/>
    <x v="268"/>
    <n v="120"/>
    <n v="12"/>
    <x v="275"/>
    <x v="255"/>
    <x v="276"/>
    <x v="271"/>
    <x v="277"/>
    <x v="15"/>
    <n v="3"/>
    <x v="11"/>
    <x v="0"/>
  </r>
  <r>
    <x v="1"/>
    <x v="2"/>
    <x v="5"/>
    <s v="High"/>
    <x v="269"/>
    <n v="120"/>
    <n v="15"/>
    <x v="276"/>
    <x v="256"/>
    <x v="277"/>
    <x v="272"/>
    <x v="278"/>
    <x v="9"/>
    <n v="5"/>
    <x v="8"/>
    <x v="0"/>
  </r>
  <r>
    <x v="2"/>
    <x v="3"/>
    <x v="5"/>
    <s v="High"/>
    <x v="270"/>
    <n v="120"/>
    <n v="12"/>
    <x v="277"/>
    <x v="257"/>
    <x v="278"/>
    <x v="273"/>
    <x v="279"/>
    <x v="3"/>
    <n v="12"/>
    <x v="3"/>
    <x v="0"/>
  </r>
  <r>
    <x v="1"/>
    <x v="1"/>
    <x v="3"/>
    <s v="High"/>
    <x v="271"/>
    <n v="250"/>
    <n v="15"/>
    <x v="278"/>
    <x v="258"/>
    <x v="279"/>
    <x v="274"/>
    <x v="280"/>
    <x v="4"/>
    <n v="7"/>
    <x v="4"/>
    <x v="0"/>
  </r>
  <r>
    <x v="1"/>
    <x v="1"/>
    <x v="3"/>
    <s v="High"/>
    <x v="272"/>
    <n v="250"/>
    <n v="15"/>
    <x v="279"/>
    <x v="259"/>
    <x v="280"/>
    <x v="275"/>
    <x v="281"/>
    <x v="5"/>
    <n v="10"/>
    <x v="5"/>
    <x v="0"/>
  </r>
  <r>
    <x v="2"/>
    <x v="3"/>
    <x v="3"/>
    <s v="High"/>
    <x v="273"/>
    <n v="250"/>
    <n v="12"/>
    <x v="280"/>
    <x v="260"/>
    <x v="281"/>
    <x v="276"/>
    <x v="282"/>
    <x v="9"/>
    <n v="5"/>
    <x v="8"/>
    <x v="0"/>
  </r>
  <r>
    <x v="1"/>
    <x v="4"/>
    <x v="2"/>
    <s v="High"/>
    <x v="274"/>
    <n v="10"/>
    <n v="15"/>
    <x v="281"/>
    <x v="0"/>
    <x v="282"/>
    <x v="277"/>
    <x v="283"/>
    <x v="2"/>
    <n v="2"/>
    <x v="2"/>
    <x v="0"/>
  </r>
  <r>
    <x v="2"/>
    <x v="0"/>
    <x v="2"/>
    <s v="High"/>
    <x v="156"/>
    <n v="10"/>
    <n v="12"/>
    <x v="159"/>
    <x v="0"/>
    <x v="160"/>
    <x v="156"/>
    <x v="160"/>
    <x v="1"/>
    <n v="6"/>
    <x v="1"/>
    <x v="0"/>
  </r>
  <r>
    <x v="2"/>
    <x v="1"/>
    <x v="2"/>
    <s v="High"/>
    <x v="215"/>
    <n v="10"/>
    <n v="12"/>
    <x v="219"/>
    <x v="0"/>
    <x v="283"/>
    <x v="216"/>
    <x v="284"/>
    <x v="4"/>
    <n v="7"/>
    <x v="4"/>
    <x v="0"/>
  </r>
  <r>
    <x v="1"/>
    <x v="2"/>
    <x v="2"/>
    <s v="High"/>
    <x v="275"/>
    <n v="10"/>
    <n v="15"/>
    <x v="282"/>
    <x v="0"/>
    <x v="284"/>
    <x v="278"/>
    <x v="285"/>
    <x v="10"/>
    <n v="9"/>
    <x v="9"/>
    <x v="1"/>
  </r>
  <r>
    <x v="1"/>
    <x v="4"/>
    <x v="2"/>
    <s v="High"/>
    <x v="276"/>
    <n v="10"/>
    <n v="15"/>
    <x v="283"/>
    <x v="0"/>
    <x v="285"/>
    <x v="279"/>
    <x v="286"/>
    <x v="11"/>
    <n v="9"/>
    <x v="9"/>
    <x v="0"/>
  </r>
  <r>
    <x v="2"/>
    <x v="3"/>
    <x v="2"/>
    <s v="High"/>
    <x v="277"/>
    <n v="10"/>
    <n v="12"/>
    <x v="284"/>
    <x v="0"/>
    <x v="286"/>
    <x v="280"/>
    <x v="287"/>
    <x v="14"/>
    <n v="11"/>
    <x v="6"/>
    <x v="1"/>
  </r>
  <r>
    <x v="1"/>
    <x v="0"/>
    <x v="2"/>
    <s v="High"/>
    <x v="278"/>
    <n v="10"/>
    <n v="15"/>
    <x v="285"/>
    <x v="0"/>
    <x v="287"/>
    <x v="281"/>
    <x v="288"/>
    <x v="6"/>
    <n v="12"/>
    <x v="3"/>
    <x v="1"/>
  </r>
  <r>
    <x v="1"/>
    <x v="2"/>
    <x v="2"/>
    <s v="Low"/>
    <x v="279"/>
    <n v="10"/>
    <n v="15"/>
    <x v="286"/>
    <x v="261"/>
    <x v="288"/>
    <x v="282"/>
    <x v="289"/>
    <x v="2"/>
    <n v="2"/>
    <x v="2"/>
    <x v="0"/>
  </r>
  <r>
    <x v="1"/>
    <x v="3"/>
    <x v="2"/>
    <s v="Low"/>
    <x v="187"/>
    <n v="10"/>
    <n v="15"/>
    <x v="190"/>
    <x v="262"/>
    <x v="289"/>
    <x v="187"/>
    <x v="290"/>
    <x v="2"/>
    <n v="2"/>
    <x v="2"/>
    <x v="0"/>
  </r>
  <r>
    <x v="1"/>
    <x v="1"/>
    <x v="2"/>
    <s v="Low"/>
    <x v="280"/>
    <n v="10"/>
    <n v="15"/>
    <x v="287"/>
    <x v="263"/>
    <x v="290"/>
    <x v="283"/>
    <x v="291"/>
    <x v="11"/>
    <n v="9"/>
    <x v="9"/>
    <x v="0"/>
  </r>
  <r>
    <x v="2"/>
    <x v="1"/>
    <x v="2"/>
    <s v="Low"/>
    <x v="168"/>
    <n v="10"/>
    <n v="12"/>
    <x v="171"/>
    <x v="151"/>
    <x v="172"/>
    <x v="168"/>
    <x v="172"/>
    <x v="12"/>
    <n v="10"/>
    <x v="5"/>
    <x v="1"/>
  </r>
  <r>
    <x v="1"/>
    <x v="0"/>
    <x v="2"/>
    <s v="Low"/>
    <x v="281"/>
    <n v="10"/>
    <n v="15"/>
    <x v="288"/>
    <x v="264"/>
    <x v="291"/>
    <x v="284"/>
    <x v="292"/>
    <x v="2"/>
    <n v="2"/>
    <x v="2"/>
    <x v="0"/>
  </r>
  <r>
    <x v="2"/>
    <x v="3"/>
    <x v="2"/>
    <s v="Low"/>
    <x v="173"/>
    <n v="10"/>
    <n v="12"/>
    <x v="176"/>
    <x v="156"/>
    <x v="177"/>
    <x v="173"/>
    <x v="177"/>
    <x v="1"/>
    <n v="6"/>
    <x v="1"/>
    <x v="0"/>
  </r>
  <r>
    <x v="2"/>
    <x v="0"/>
    <x v="2"/>
    <s v="Low"/>
    <x v="172"/>
    <n v="10"/>
    <n v="12"/>
    <x v="175"/>
    <x v="155"/>
    <x v="176"/>
    <x v="172"/>
    <x v="176"/>
    <x v="5"/>
    <n v="10"/>
    <x v="5"/>
    <x v="0"/>
  </r>
  <r>
    <x v="2"/>
    <x v="2"/>
    <x v="2"/>
    <s v="Low"/>
    <x v="282"/>
    <n v="10"/>
    <n v="12"/>
    <x v="289"/>
    <x v="265"/>
    <x v="292"/>
    <x v="285"/>
    <x v="293"/>
    <x v="14"/>
    <n v="11"/>
    <x v="6"/>
    <x v="1"/>
  </r>
  <r>
    <x v="1"/>
    <x v="3"/>
    <x v="2"/>
    <s v="Low"/>
    <x v="283"/>
    <n v="10"/>
    <n v="15"/>
    <x v="290"/>
    <x v="266"/>
    <x v="293"/>
    <x v="286"/>
    <x v="294"/>
    <x v="6"/>
    <n v="12"/>
    <x v="3"/>
    <x v="1"/>
  </r>
  <r>
    <x v="2"/>
    <x v="2"/>
    <x v="2"/>
    <s v="Low"/>
    <x v="175"/>
    <n v="10"/>
    <n v="12"/>
    <x v="178"/>
    <x v="158"/>
    <x v="179"/>
    <x v="175"/>
    <x v="179"/>
    <x v="3"/>
    <n v="12"/>
    <x v="3"/>
    <x v="0"/>
  </r>
  <r>
    <x v="2"/>
    <x v="4"/>
    <x v="2"/>
    <s v="Low"/>
    <x v="176"/>
    <n v="10"/>
    <n v="12"/>
    <x v="179"/>
    <x v="159"/>
    <x v="180"/>
    <x v="176"/>
    <x v="180"/>
    <x v="3"/>
    <n v="12"/>
    <x v="3"/>
    <x v="0"/>
  </r>
  <r>
    <x v="2"/>
    <x v="2"/>
    <x v="2"/>
    <s v="Low"/>
    <x v="179"/>
    <n v="10"/>
    <n v="12"/>
    <x v="182"/>
    <x v="162"/>
    <x v="183"/>
    <x v="179"/>
    <x v="183"/>
    <x v="1"/>
    <n v="6"/>
    <x v="1"/>
    <x v="0"/>
  </r>
  <r>
    <x v="2"/>
    <x v="3"/>
    <x v="2"/>
    <s v="Low"/>
    <x v="284"/>
    <n v="10"/>
    <n v="12"/>
    <x v="291"/>
    <x v="267"/>
    <x v="294"/>
    <x v="287"/>
    <x v="295"/>
    <x v="4"/>
    <n v="7"/>
    <x v="4"/>
    <x v="0"/>
  </r>
  <r>
    <x v="1"/>
    <x v="1"/>
    <x v="2"/>
    <s v="Low"/>
    <x v="181"/>
    <n v="10"/>
    <n v="15"/>
    <x v="184"/>
    <x v="164"/>
    <x v="185"/>
    <x v="181"/>
    <x v="185"/>
    <x v="12"/>
    <n v="10"/>
    <x v="5"/>
    <x v="1"/>
  </r>
  <r>
    <x v="1"/>
    <x v="4"/>
    <x v="2"/>
    <s v="Low"/>
    <x v="183"/>
    <n v="10"/>
    <n v="15"/>
    <x v="186"/>
    <x v="166"/>
    <x v="187"/>
    <x v="183"/>
    <x v="187"/>
    <x v="5"/>
    <n v="10"/>
    <x v="5"/>
    <x v="0"/>
  </r>
  <r>
    <x v="1"/>
    <x v="2"/>
    <x v="2"/>
    <s v="Low"/>
    <x v="285"/>
    <n v="10"/>
    <n v="15"/>
    <x v="292"/>
    <x v="268"/>
    <x v="295"/>
    <x v="288"/>
    <x v="296"/>
    <x v="6"/>
    <n v="12"/>
    <x v="3"/>
    <x v="1"/>
  </r>
  <r>
    <x v="1"/>
    <x v="0"/>
    <x v="2"/>
    <s v="Low"/>
    <x v="286"/>
    <n v="10"/>
    <n v="15"/>
    <x v="293"/>
    <x v="269"/>
    <x v="296"/>
    <x v="289"/>
    <x v="297"/>
    <x v="11"/>
    <n v="9"/>
    <x v="9"/>
    <x v="0"/>
  </r>
  <r>
    <x v="1"/>
    <x v="3"/>
    <x v="2"/>
    <s v="Low"/>
    <x v="188"/>
    <n v="10"/>
    <n v="15"/>
    <x v="191"/>
    <x v="171"/>
    <x v="192"/>
    <x v="188"/>
    <x v="192"/>
    <x v="12"/>
    <n v="10"/>
    <x v="5"/>
    <x v="1"/>
  </r>
  <r>
    <x v="1"/>
    <x v="4"/>
    <x v="2"/>
    <s v="Low"/>
    <x v="187"/>
    <n v="10"/>
    <n v="15"/>
    <x v="190"/>
    <x v="170"/>
    <x v="191"/>
    <x v="187"/>
    <x v="191"/>
    <x v="12"/>
    <n v="10"/>
    <x v="5"/>
    <x v="1"/>
  </r>
  <r>
    <x v="2"/>
    <x v="0"/>
    <x v="2"/>
    <s v="Medium"/>
    <x v="189"/>
    <n v="10"/>
    <n v="12"/>
    <x v="192"/>
    <x v="172"/>
    <x v="193"/>
    <x v="189"/>
    <x v="193"/>
    <x v="3"/>
    <n v="12"/>
    <x v="3"/>
    <x v="0"/>
  </r>
  <r>
    <x v="1"/>
    <x v="2"/>
    <x v="2"/>
    <s v="Medium"/>
    <x v="287"/>
    <n v="10"/>
    <n v="15"/>
    <x v="294"/>
    <x v="270"/>
    <x v="297"/>
    <x v="290"/>
    <x v="298"/>
    <x v="11"/>
    <n v="9"/>
    <x v="9"/>
    <x v="0"/>
  </r>
  <r>
    <x v="1"/>
    <x v="1"/>
    <x v="2"/>
    <s v="Medium"/>
    <x v="288"/>
    <n v="10"/>
    <n v="15"/>
    <x v="295"/>
    <x v="271"/>
    <x v="298"/>
    <x v="291"/>
    <x v="299"/>
    <x v="6"/>
    <n v="12"/>
    <x v="3"/>
    <x v="1"/>
  </r>
  <r>
    <x v="1"/>
    <x v="2"/>
    <x v="2"/>
    <s v="Medium"/>
    <x v="289"/>
    <n v="10"/>
    <n v="15"/>
    <x v="296"/>
    <x v="272"/>
    <x v="299"/>
    <x v="292"/>
    <x v="300"/>
    <x v="8"/>
    <n v="4"/>
    <x v="7"/>
    <x v="0"/>
  </r>
  <r>
    <x v="2"/>
    <x v="0"/>
    <x v="2"/>
    <s v="Medium"/>
    <x v="198"/>
    <n v="10"/>
    <n v="12"/>
    <x v="202"/>
    <x v="182"/>
    <x v="203"/>
    <x v="199"/>
    <x v="203"/>
    <x v="12"/>
    <n v="10"/>
    <x v="5"/>
    <x v="1"/>
  </r>
  <r>
    <x v="1"/>
    <x v="3"/>
    <x v="2"/>
    <s v="Medium"/>
    <x v="290"/>
    <n v="10"/>
    <n v="15"/>
    <x v="297"/>
    <x v="273"/>
    <x v="300"/>
    <x v="293"/>
    <x v="301"/>
    <x v="13"/>
    <n v="8"/>
    <x v="10"/>
    <x v="0"/>
  </r>
  <r>
    <x v="1"/>
    <x v="1"/>
    <x v="2"/>
    <s v="Medium"/>
    <x v="70"/>
    <n v="10"/>
    <n v="15"/>
    <x v="272"/>
    <x v="274"/>
    <x v="301"/>
    <x v="70"/>
    <x v="302"/>
    <x v="13"/>
    <n v="8"/>
    <x v="10"/>
    <x v="0"/>
  </r>
  <r>
    <x v="1"/>
    <x v="3"/>
    <x v="2"/>
    <s v="Medium"/>
    <x v="202"/>
    <n v="10"/>
    <n v="15"/>
    <x v="206"/>
    <x v="186"/>
    <x v="207"/>
    <x v="203"/>
    <x v="207"/>
    <x v="5"/>
    <n v="10"/>
    <x v="5"/>
    <x v="0"/>
  </r>
  <r>
    <x v="1"/>
    <x v="2"/>
    <x v="2"/>
    <s v="Medium"/>
    <x v="291"/>
    <n v="10"/>
    <n v="15"/>
    <x v="298"/>
    <x v="275"/>
    <x v="302"/>
    <x v="294"/>
    <x v="303"/>
    <x v="13"/>
    <n v="8"/>
    <x v="10"/>
    <x v="0"/>
  </r>
  <r>
    <x v="1"/>
    <x v="3"/>
    <x v="2"/>
    <s v="Medium"/>
    <x v="292"/>
    <n v="10"/>
    <n v="15"/>
    <x v="299"/>
    <x v="276"/>
    <x v="303"/>
    <x v="295"/>
    <x v="304"/>
    <x v="10"/>
    <n v="9"/>
    <x v="9"/>
    <x v="1"/>
  </r>
  <r>
    <x v="2"/>
    <x v="4"/>
    <x v="2"/>
    <s v="Medium"/>
    <x v="293"/>
    <n v="10"/>
    <n v="12"/>
    <x v="300"/>
    <x v="277"/>
    <x v="304"/>
    <x v="296"/>
    <x v="305"/>
    <x v="14"/>
    <n v="11"/>
    <x v="6"/>
    <x v="1"/>
  </r>
  <r>
    <x v="1"/>
    <x v="3"/>
    <x v="2"/>
    <s v="Medium"/>
    <x v="294"/>
    <n v="10"/>
    <n v="15"/>
    <x v="301"/>
    <x v="278"/>
    <x v="305"/>
    <x v="297"/>
    <x v="306"/>
    <x v="8"/>
    <n v="4"/>
    <x v="7"/>
    <x v="0"/>
  </r>
  <r>
    <x v="1"/>
    <x v="2"/>
    <x v="2"/>
    <s v="Medium"/>
    <x v="221"/>
    <n v="10"/>
    <n v="15"/>
    <x v="225"/>
    <x v="206"/>
    <x v="227"/>
    <x v="222"/>
    <x v="227"/>
    <x v="5"/>
    <n v="10"/>
    <x v="5"/>
    <x v="0"/>
  </r>
  <r>
    <x v="2"/>
    <x v="4"/>
    <x v="2"/>
    <s v="Medium"/>
    <x v="215"/>
    <n v="10"/>
    <n v="12"/>
    <x v="219"/>
    <x v="200"/>
    <x v="221"/>
    <x v="216"/>
    <x v="221"/>
    <x v="12"/>
    <n v="10"/>
    <x v="5"/>
    <x v="1"/>
  </r>
  <r>
    <x v="2"/>
    <x v="1"/>
    <x v="2"/>
    <s v="Medium"/>
    <x v="295"/>
    <n v="10"/>
    <n v="12"/>
    <x v="302"/>
    <x v="279"/>
    <x v="306"/>
    <x v="298"/>
    <x v="307"/>
    <x v="14"/>
    <n v="11"/>
    <x v="6"/>
    <x v="1"/>
  </r>
  <r>
    <x v="2"/>
    <x v="3"/>
    <x v="2"/>
    <s v="High"/>
    <x v="227"/>
    <n v="10"/>
    <n v="12"/>
    <x v="232"/>
    <x v="213"/>
    <x v="234"/>
    <x v="229"/>
    <x v="234"/>
    <x v="12"/>
    <n v="10"/>
    <x v="5"/>
    <x v="1"/>
  </r>
  <r>
    <x v="1"/>
    <x v="2"/>
    <x v="2"/>
    <s v="High"/>
    <x v="234"/>
    <n v="10"/>
    <n v="15"/>
    <x v="239"/>
    <x v="220"/>
    <x v="241"/>
    <x v="236"/>
    <x v="241"/>
    <x v="12"/>
    <n v="10"/>
    <x v="5"/>
    <x v="1"/>
  </r>
  <r>
    <x v="2"/>
    <x v="2"/>
    <x v="2"/>
    <s v="High"/>
    <x v="237"/>
    <n v="10"/>
    <n v="12"/>
    <x v="242"/>
    <x v="223"/>
    <x v="244"/>
    <x v="239"/>
    <x v="244"/>
    <x v="12"/>
    <n v="10"/>
    <x v="5"/>
    <x v="1"/>
  </r>
  <r>
    <x v="2"/>
    <x v="2"/>
    <x v="2"/>
    <s v="High"/>
    <x v="296"/>
    <n v="10"/>
    <n v="12"/>
    <x v="303"/>
    <x v="280"/>
    <x v="307"/>
    <x v="299"/>
    <x v="308"/>
    <x v="4"/>
    <n v="7"/>
    <x v="4"/>
    <x v="0"/>
  </r>
  <r>
    <x v="1"/>
    <x v="4"/>
    <x v="2"/>
    <s v="High"/>
    <x v="297"/>
    <n v="10"/>
    <n v="15"/>
    <x v="304"/>
    <x v="281"/>
    <x v="308"/>
    <x v="300"/>
    <x v="309"/>
    <x v="13"/>
    <n v="8"/>
    <x v="10"/>
    <x v="0"/>
  </r>
  <r>
    <x v="1"/>
    <x v="4"/>
    <x v="2"/>
    <s v="High"/>
    <x v="134"/>
    <n v="10"/>
    <n v="15"/>
    <x v="305"/>
    <x v="282"/>
    <x v="309"/>
    <x v="301"/>
    <x v="310"/>
    <x v="6"/>
    <n v="12"/>
    <x v="3"/>
    <x v="1"/>
  </r>
  <r>
    <x v="2"/>
    <x v="4"/>
    <x v="2"/>
    <s v="High"/>
    <x v="298"/>
    <n v="10"/>
    <n v="12"/>
    <x v="306"/>
    <x v="283"/>
    <x v="310"/>
    <x v="302"/>
    <x v="311"/>
    <x v="4"/>
    <n v="7"/>
    <x v="4"/>
    <x v="0"/>
  </r>
  <r>
    <x v="1"/>
    <x v="0"/>
    <x v="2"/>
    <s v="High"/>
    <x v="259"/>
    <n v="10"/>
    <n v="15"/>
    <x v="265"/>
    <x v="245"/>
    <x v="267"/>
    <x v="262"/>
    <x v="267"/>
    <x v="5"/>
    <n v="10"/>
    <x v="5"/>
    <x v="0"/>
  </r>
  <r>
    <x v="2"/>
    <x v="1"/>
    <x v="2"/>
    <s v="High"/>
    <x v="258"/>
    <n v="10"/>
    <n v="12"/>
    <x v="264"/>
    <x v="244"/>
    <x v="266"/>
    <x v="261"/>
    <x v="266"/>
    <x v="3"/>
    <n v="12"/>
    <x v="3"/>
    <x v="0"/>
  </r>
  <r>
    <x v="1"/>
    <x v="1"/>
    <x v="2"/>
    <s v="High"/>
    <x v="299"/>
    <n v="10"/>
    <n v="15"/>
    <x v="307"/>
    <x v="284"/>
    <x v="311"/>
    <x v="303"/>
    <x v="312"/>
    <x v="2"/>
    <n v="2"/>
    <x v="2"/>
    <x v="0"/>
  </r>
  <r>
    <x v="1"/>
    <x v="3"/>
    <x v="2"/>
    <s v="High"/>
    <x v="300"/>
    <n v="10"/>
    <n v="15"/>
    <x v="308"/>
    <x v="285"/>
    <x v="312"/>
    <x v="304"/>
    <x v="313"/>
    <x v="11"/>
    <n v="9"/>
    <x v="9"/>
    <x v="0"/>
  </r>
  <r>
    <x v="2"/>
    <x v="2"/>
    <x v="2"/>
    <s v="High"/>
    <x v="261"/>
    <n v="10"/>
    <n v="12"/>
    <x v="267"/>
    <x v="247"/>
    <x v="269"/>
    <x v="264"/>
    <x v="269"/>
    <x v="5"/>
    <n v="10"/>
    <x v="5"/>
    <x v="0"/>
  </r>
  <r>
    <x v="1"/>
    <x v="0"/>
    <x v="2"/>
    <s v="High"/>
    <x v="154"/>
    <n v="10"/>
    <n v="15"/>
    <x v="157"/>
    <x v="286"/>
    <x v="313"/>
    <x v="154"/>
    <x v="314"/>
    <x v="10"/>
    <n v="9"/>
    <x v="9"/>
    <x v="1"/>
  </r>
  <r>
    <x v="1"/>
    <x v="0"/>
    <x v="2"/>
    <s v="High"/>
    <x v="70"/>
    <n v="10"/>
    <n v="15"/>
    <x v="272"/>
    <x v="252"/>
    <x v="273"/>
    <x v="70"/>
    <x v="274"/>
    <x v="12"/>
    <n v="10"/>
    <x v="5"/>
    <x v="1"/>
  </r>
  <r>
    <x v="2"/>
    <x v="3"/>
    <x v="2"/>
    <s v="High"/>
    <x v="266"/>
    <n v="10"/>
    <n v="12"/>
    <x v="273"/>
    <x v="253"/>
    <x v="274"/>
    <x v="269"/>
    <x v="275"/>
    <x v="5"/>
    <n v="10"/>
    <x v="5"/>
    <x v="0"/>
  </r>
  <r>
    <x v="2"/>
    <x v="0"/>
    <x v="2"/>
    <s v="High"/>
    <x v="301"/>
    <n v="10"/>
    <n v="12"/>
    <x v="309"/>
    <x v="287"/>
    <x v="314"/>
    <x v="305"/>
    <x v="315"/>
    <x v="14"/>
    <n v="11"/>
    <x v="6"/>
    <x v="1"/>
  </r>
  <r>
    <x v="1"/>
    <x v="0"/>
    <x v="2"/>
    <s v="High"/>
    <x v="302"/>
    <n v="10"/>
    <n v="15"/>
    <x v="310"/>
    <x v="288"/>
    <x v="315"/>
    <x v="306"/>
    <x v="316"/>
    <x v="8"/>
    <n v="4"/>
    <x v="7"/>
    <x v="0"/>
  </r>
  <r>
    <x v="1"/>
    <x v="0"/>
    <x v="2"/>
    <s v="High"/>
    <x v="303"/>
    <n v="10"/>
    <n v="15"/>
    <x v="311"/>
    <x v="289"/>
    <x v="316"/>
    <x v="307"/>
    <x v="317"/>
    <x v="13"/>
    <n v="8"/>
    <x v="10"/>
    <x v="0"/>
  </r>
  <r>
    <x v="1"/>
    <x v="1"/>
    <x v="2"/>
    <s v="High"/>
    <x v="272"/>
    <n v="10"/>
    <n v="15"/>
    <x v="279"/>
    <x v="259"/>
    <x v="280"/>
    <x v="275"/>
    <x v="281"/>
    <x v="5"/>
    <n v="10"/>
    <x v="5"/>
    <x v="0"/>
  </r>
  <r>
    <x v="2"/>
    <x v="3"/>
    <x v="2"/>
    <s v="High"/>
    <x v="270"/>
    <n v="10"/>
    <n v="12"/>
    <x v="277"/>
    <x v="257"/>
    <x v="278"/>
    <x v="273"/>
    <x v="279"/>
    <x v="3"/>
    <n v="12"/>
    <x v="3"/>
    <x v="0"/>
  </r>
  <r>
    <x v="4"/>
    <x v="5"/>
    <x v="6"/>
    <m/>
    <x v="304"/>
    <m/>
    <m/>
    <x v="312"/>
    <x v="290"/>
    <x v="317"/>
    <x v="308"/>
    <x v="318"/>
    <x v="16"/>
    <m/>
    <x v="1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8E8D87-B257-A74E-AA77-4007F15E2574}"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8:B64" firstHeaderRow="1" firstDataRow="1" firstDataCol="1"/>
  <pivotFields count="16">
    <pivotField axis="axisRow" showAll="0">
      <items count="6">
        <item x="2"/>
        <item x="3"/>
        <item x="0"/>
        <item x="1"/>
        <item x="4"/>
        <item t="default"/>
      </items>
    </pivotField>
    <pivotField showAll="0"/>
    <pivotField showAll="0"/>
    <pivotField showAll="0"/>
    <pivotField showAll="0"/>
    <pivotField showAll="0"/>
    <pivotField showAll="0"/>
    <pivotField showAll="0"/>
    <pivotField showAll="0"/>
    <pivotField dataField="1" showAll="0"/>
    <pivotField showAll="0">
      <items count="310">
        <item x="228"/>
        <item x="216"/>
        <item x="229"/>
        <item x="260"/>
        <item x="116"/>
        <item x="90"/>
        <item x="144"/>
        <item x="241"/>
        <item x="145"/>
        <item x="271"/>
        <item x="198"/>
        <item x="302"/>
        <item x="214"/>
        <item x="127"/>
        <item x="88"/>
        <item x="257"/>
        <item x="134"/>
        <item x="146"/>
        <item x="174"/>
        <item x="289"/>
        <item x="204"/>
        <item x="168"/>
        <item x="51"/>
        <item x="115"/>
        <item x="218"/>
        <item x="186"/>
        <item x="72"/>
        <item x="126"/>
        <item x="220"/>
        <item x="75"/>
        <item x="94"/>
        <item x="178"/>
        <item x="112"/>
        <item x="280"/>
        <item x="273"/>
        <item x="303"/>
        <item x="103"/>
        <item x="3"/>
        <item x="76"/>
        <item x="242"/>
        <item x="261"/>
        <item x="175"/>
        <item x="85"/>
        <item x="171"/>
        <item x="176"/>
        <item x="192"/>
        <item x="190"/>
        <item x="119"/>
        <item x="173"/>
        <item x="239"/>
        <item x="151"/>
        <item x="301"/>
        <item x="240"/>
        <item x="172"/>
        <item x="125"/>
        <item x="287"/>
        <item x="215"/>
        <item x="264"/>
        <item x="165"/>
        <item x="44"/>
        <item x="185"/>
        <item x="79"/>
        <item x="64"/>
        <item x="157"/>
        <item x="224"/>
        <item x="211"/>
        <item x="274"/>
        <item x="102"/>
        <item x="232"/>
        <item x="84"/>
        <item x="110"/>
        <item x="248"/>
        <item x="208"/>
        <item x="263"/>
        <item x="298"/>
        <item x="285"/>
        <item x="276"/>
        <item x="7"/>
        <item x="118"/>
        <item x="278"/>
        <item x="195"/>
        <item x="164"/>
        <item x="191"/>
        <item x="205"/>
        <item x="111"/>
        <item x="179"/>
        <item x="80"/>
        <item x="180"/>
        <item x="97"/>
        <item x="244"/>
        <item x="177"/>
        <item x="162"/>
        <item x="219"/>
        <item x="35"/>
        <item x="225"/>
        <item x="142"/>
        <item x="170"/>
        <item x="265"/>
        <item x="73"/>
        <item x="33"/>
        <item x="159"/>
        <item x="117"/>
        <item x="251"/>
        <item x="235"/>
        <item x="163"/>
        <item x="39"/>
        <item x="160"/>
        <item x="139"/>
        <item x="247"/>
        <item x="259"/>
        <item x="46"/>
        <item x="209"/>
        <item x="109"/>
        <item x="305"/>
        <item x="221"/>
        <item x="188"/>
        <item x="250"/>
        <item x="231"/>
        <item x="150"/>
        <item x="98"/>
        <item x="199"/>
        <item x="217"/>
        <item x="107"/>
        <item x="206"/>
        <item x="194"/>
        <item x="38"/>
        <item x="213"/>
        <item x="140"/>
        <item x="299"/>
        <item x="189"/>
        <item x="12"/>
        <item x="268"/>
        <item x="182"/>
        <item x="138"/>
        <item x="81"/>
        <item x="283"/>
        <item x="108"/>
        <item x="156"/>
        <item x="238"/>
        <item x="131"/>
        <item x="233"/>
        <item x="113"/>
        <item x="254"/>
        <item x="120"/>
        <item x="167"/>
        <item x="124"/>
        <item x="201"/>
        <item x="255"/>
        <item x="296"/>
        <item x="11"/>
        <item x="101"/>
        <item x="82"/>
        <item x="161"/>
        <item x="147"/>
        <item x="77"/>
        <item x="269"/>
        <item x="95"/>
        <item x="153"/>
        <item x="133"/>
        <item x="60"/>
        <item x="87"/>
        <item x="155"/>
        <item x="9"/>
        <item x="223"/>
        <item x="47"/>
        <item x="210"/>
        <item x="277"/>
        <item x="93"/>
        <item x="29"/>
        <item x="92"/>
        <item x="23"/>
        <item x="48"/>
        <item x="89"/>
        <item x="14"/>
        <item x="237"/>
        <item x="114"/>
        <item x="106"/>
        <item x="91"/>
        <item x="78"/>
        <item x="26"/>
        <item x="36"/>
        <item x="54"/>
        <item x="27"/>
        <item x="203"/>
        <item x="74"/>
        <item x="105"/>
        <item x="128"/>
        <item x="123"/>
        <item x="99"/>
        <item x="275"/>
        <item x="121"/>
        <item x="135"/>
        <item x="222"/>
        <item x="61"/>
        <item x="8"/>
        <item x="104"/>
        <item x="66"/>
        <item x="207"/>
        <item x="86"/>
        <item x="24"/>
        <item x="130"/>
        <item x="149"/>
        <item x="37"/>
        <item x="17"/>
        <item x="1"/>
        <item x="129"/>
        <item x="100"/>
        <item x="141"/>
        <item x="132"/>
        <item x="40"/>
        <item x="136"/>
        <item x="5"/>
        <item x="18"/>
        <item x="34"/>
        <item x="96"/>
        <item x="148"/>
        <item x="122"/>
        <item x="143"/>
        <item x="266"/>
        <item x="187"/>
        <item x="43"/>
        <item x="202"/>
        <item x="63"/>
        <item x="32"/>
        <item x="245"/>
        <item x="16"/>
        <item x="262"/>
        <item x="6"/>
        <item x="22"/>
        <item x="306"/>
        <item x="0"/>
        <item x="227"/>
        <item x="45"/>
        <item x="137"/>
        <item x="59"/>
        <item x="70"/>
        <item x="28"/>
        <item x="304"/>
        <item x="19"/>
        <item x="4"/>
        <item x="30"/>
        <item x="270"/>
        <item x="2"/>
        <item x="286"/>
        <item x="41"/>
        <item x="181"/>
        <item x="50"/>
        <item x="184"/>
        <item x="83"/>
        <item x="31"/>
        <item x="300"/>
        <item x="200"/>
        <item x="183"/>
        <item x="52"/>
        <item x="230"/>
        <item x="13"/>
        <item x="294"/>
        <item x="291"/>
        <item x="281"/>
        <item x="246"/>
        <item x="236"/>
        <item x="152"/>
        <item x="293"/>
        <item x="169"/>
        <item x="65"/>
        <item x="288"/>
        <item x="282"/>
        <item x="25"/>
        <item x="267"/>
        <item x="284"/>
        <item x="55"/>
        <item x="71"/>
        <item x="154"/>
        <item x="279"/>
        <item x="212"/>
        <item x="62"/>
        <item x="253"/>
        <item x="307"/>
        <item x="256"/>
        <item x="69"/>
        <item x="10"/>
        <item x="290"/>
        <item x="226"/>
        <item x="58"/>
        <item x="67"/>
        <item x="15"/>
        <item x="20"/>
        <item x="49"/>
        <item x="249"/>
        <item x="68"/>
        <item x="193"/>
        <item x="56"/>
        <item x="272"/>
        <item x="21"/>
        <item x="197"/>
        <item x="196"/>
        <item x="295"/>
        <item x="57"/>
        <item x="53"/>
        <item x="42"/>
        <item x="243"/>
        <item x="297"/>
        <item x="292"/>
        <item x="252"/>
        <item x="166"/>
        <item x="258"/>
        <item x="234"/>
        <item x="158"/>
        <item x="308"/>
        <item t="default"/>
      </items>
    </pivotField>
    <pivotField showAll="0">
      <items count="320">
        <item x="239"/>
        <item x="147"/>
        <item x="148"/>
        <item x="118"/>
        <item x="149"/>
        <item x="108"/>
        <item x="137"/>
        <item x="130"/>
        <item x="91"/>
        <item x="155"/>
        <item x="89"/>
        <item x="117"/>
        <item x="129"/>
        <item x="312"/>
        <item x="114"/>
        <item x="223"/>
        <item x="104"/>
        <item x="297"/>
        <item x="95"/>
        <item x="121"/>
        <item x="128"/>
        <item x="310"/>
        <item x="85"/>
        <item x="170"/>
        <item x="245"/>
        <item x="145"/>
        <item x="154"/>
        <item x="280"/>
        <item x="142"/>
        <item x="112"/>
        <item x="175"/>
        <item x="143"/>
        <item x="120"/>
        <item x="103"/>
        <item x="113"/>
        <item x="162"/>
        <item x="141"/>
        <item x="150"/>
        <item x="151"/>
        <item x="79"/>
        <item x="237"/>
        <item x="119"/>
        <item x="216"/>
        <item x="75"/>
        <item x="72"/>
        <item x="98"/>
        <item x="51"/>
        <item x="134"/>
        <item x="84"/>
        <item x="264"/>
        <item x="76"/>
        <item x="111"/>
        <item x="255"/>
        <item x="252"/>
        <item x="127"/>
        <item x="109"/>
        <item x="136"/>
        <item x="240"/>
        <item x="99"/>
        <item x="80"/>
        <item x="122"/>
        <item x="199"/>
        <item x="110"/>
        <item x="236"/>
        <item x="115"/>
        <item x="153"/>
        <item x="233"/>
        <item x="86"/>
        <item x="218"/>
        <item x="285"/>
        <item x="238"/>
        <item x="102"/>
        <item x="124"/>
        <item x="138"/>
        <item x="221"/>
        <item x="3"/>
        <item x="144"/>
        <item x="192"/>
        <item x="152"/>
        <item x="81"/>
        <item x="234"/>
        <item x="131"/>
        <item x="265"/>
        <item x="146"/>
        <item x="163"/>
        <item x="133"/>
        <item x="96"/>
        <item x="139"/>
        <item x="116"/>
        <item x="281"/>
        <item x="64"/>
        <item x="284"/>
        <item x="135"/>
        <item x="126"/>
        <item x="82"/>
        <item x="132"/>
        <item x="123"/>
        <item x="94"/>
        <item x="107"/>
        <item x="88"/>
        <item x="228"/>
        <item x="277"/>
        <item x="291"/>
        <item x="246"/>
        <item x="44"/>
        <item x="93"/>
        <item x="106"/>
        <item x="100"/>
        <item x="140"/>
        <item x="92"/>
        <item x="90"/>
        <item x="105"/>
        <item x="125"/>
        <item x="311"/>
        <item x="78"/>
        <item x="73"/>
        <item x="271"/>
        <item x="101"/>
        <item x="316"/>
        <item x="157"/>
        <item x="227"/>
        <item x="262"/>
        <item x="159"/>
        <item x="202"/>
        <item x="207"/>
        <item x="267"/>
        <item x="219"/>
        <item x="283"/>
        <item x="87"/>
        <item x="97"/>
        <item x="212"/>
        <item x="274"/>
        <item x="35"/>
        <item x="313"/>
        <item x="7"/>
        <item x="250"/>
        <item x="33"/>
        <item x="39"/>
        <item x="276"/>
        <item x="46"/>
        <item x="208"/>
        <item x="38"/>
        <item x="232"/>
        <item x="178"/>
        <item x="77"/>
        <item x="206"/>
        <item x="279"/>
        <item x="309"/>
        <item x="191"/>
        <item x="272"/>
        <item x="12"/>
        <item x="172"/>
        <item x="60"/>
        <item x="225"/>
        <item x="317"/>
        <item x="302"/>
        <item x="314"/>
        <item x="251"/>
        <item x="235"/>
        <item x="290"/>
        <item x="190"/>
        <item x="266"/>
        <item x="241"/>
        <item x="83"/>
        <item x="247"/>
        <item x="278"/>
        <item x="11"/>
        <item x="261"/>
        <item x="182"/>
        <item x="47"/>
        <item x="74"/>
        <item x="258"/>
        <item x="287"/>
        <item x="303"/>
        <item x="204"/>
        <item x="48"/>
        <item x="254"/>
        <item x="188"/>
        <item x="54"/>
        <item x="29"/>
        <item x="185"/>
        <item x="187"/>
        <item x="299"/>
        <item x="301"/>
        <item x="9"/>
        <item x="294"/>
        <item x="244"/>
        <item x="179"/>
        <item x="66"/>
        <item x="23"/>
        <item x="61"/>
        <item x="196"/>
        <item x="194"/>
        <item x="180"/>
        <item x="217"/>
        <item x="231"/>
        <item x="36"/>
        <item x="14"/>
        <item x="26"/>
        <item x="27"/>
        <item x="296"/>
        <item x="177"/>
        <item x="269"/>
        <item x="248"/>
        <item x="173"/>
        <item x="288"/>
        <item x="37"/>
        <item x="156"/>
        <item x="220"/>
        <item x="292"/>
        <item x="298"/>
        <item x="289"/>
        <item x="176"/>
        <item x="24"/>
        <item x="40"/>
        <item x="304"/>
        <item x="63"/>
        <item x="201"/>
        <item x="17"/>
        <item x="295"/>
        <item x="197"/>
        <item x="8"/>
        <item x="200"/>
        <item x="263"/>
        <item x="34"/>
        <item x="158"/>
        <item x="286"/>
        <item x="257"/>
        <item x="189"/>
        <item x="18"/>
        <item x="229"/>
        <item x="70"/>
        <item x="43"/>
        <item x="169"/>
        <item x="282"/>
        <item x="59"/>
        <item x="268"/>
        <item x="32"/>
        <item x="1"/>
        <item x="253"/>
        <item x="306"/>
        <item x="5"/>
        <item x="45"/>
        <item x="161"/>
        <item x="307"/>
        <item x="16"/>
        <item x="213"/>
        <item x="22"/>
        <item x="270"/>
        <item x="249"/>
        <item x="6"/>
        <item x="209"/>
        <item x="28"/>
        <item x="224"/>
        <item x="230"/>
        <item x="300"/>
        <item x="50"/>
        <item x="293"/>
        <item x="195"/>
        <item x="30"/>
        <item x="256"/>
        <item x="0"/>
        <item x="19"/>
        <item x="41"/>
        <item x="315"/>
        <item x="52"/>
        <item x="183"/>
        <item x="168"/>
        <item x="184"/>
        <item x="65"/>
        <item x="181"/>
        <item x="31"/>
        <item x="71"/>
        <item x="166"/>
        <item x="174"/>
        <item x="226"/>
        <item x="214"/>
        <item x="273"/>
        <item x="4"/>
        <item x="222"/>
        <item x="69"/>
        <item x="308"/>
        <item x="55"/>
        <item x="2"/>
        <item x="203"/>
        <item x="13"/>
        <item x="210"/>
        <item x="211"/>
        <item x="62"/>
        <item x="167"/>
        <item x="164"/>
        <item x="67"/>
        <item x="198"/>
        <item x="68"/>
        <item x="243"/>
        <item x="259"/>
        <item x="193"/>
        <item x="58"/>
        <item x="25"/>
        <item x="260"/>
        <item x="275"/>
        <item x="186"/>
        <item x="56"/>
        <item x="49"/>
        <item x="305"/>
        <item x="205"/>
        <item x="160"/>
        <item x="57"/>
        <item x="53"/>
        <item x="171"/>
        <item x="20"/>
        <item x="10"/>
        <item x="15"/>
        <item x="42"/>
        <item x="21"/>
        <item x="165"/>
        <item x="215"/>
        <item x="242"/>
        <item x="318"/>
        <item t="default"/>
      </items>
    </pivotField>
    <pivotField showAll="0">
      <items count="18">
        <item x="10"/>
        <item x="12"/>
        <item x="14"/>
        <item x="6"/>
        <item x="0"/>
        <item x="2"/>
        <item x="15"/>
        <item x="8"/>
        <item x="9"/>
        <item x="1"/>
        <item x="4"/>
        <item x="13"/>
        <item x="11"/>
        <item x="5"/>
        <item x="7"/>
        <item x="3"/>
        <item x="16"/>
        <item t="default"/>
      </items>
    </pivotField>
    <pivotField showAll="0"/>
    <pivotField showAll="0"/>
    <pivotField showAll="0">
      <items count="4">
        <item x="1"/>
        <item x="0"/>
        <item x="2"/>
        <item t="default"/>
      </items>
    </pivotField>
  </pivotFields>
  <rowFields count="1">
    <field x="0"/>
  </rowFields>
  <rowItems count="6">
    <i>
      <x/>
    </i>
    <i>
      <x v="1"/>
    </i>
    <i>
      <x v="2"/>
    </i>
    <i>
      <x v="3"/>
    </i>
    <i>
      <x v="4"/>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F2FC02-B32B-0F41-9D50-2E95533BFCE1}"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B52" firstHeaderRow="1" firstDataRow="1" firstDataCol="1"/>
  <pivotFields count="16">
    <pivotField showAll="0">
      <items count="6">
        <item x="2"/>
        <item x="3"/>
        <item x="0"/>
        <item x="1"/>
        <item x="4"/>
        <item t="default"/>
      </items>
    </pivotField>
    <pivotField showAll="0"/>
    <pivotField showAll="0"/>
    <pivotField showAll="0"/>
    <pivotField showAll="0"/>
    <pivotField showAll="0"/>
    <pivotField showAll="0"/>
    <pivotField showAll="0">
      <items count="314">
        <item x="117"/>
        <item x="91"/>
        <item x="146"/>
        <item x="147"/>
        <item x="129"/>
        <item x="89"/>
        <item x="136"/>
        <item x="148"/>
        <item x="293"/>
        <item x="116"/>
        <item x="128"/>
        <item x="231"/>
        <item x="221"/>
        <item x="95"/>
        <item x="113"/>
        <item x="104"/>
        <item x="307"/>
        <item x="219"/>
        <item x="85"/>
        <item x="232"/>
        <item x="120"/>
        <item x="174"/>
        <item x="51"/>
        <item x="263"/>
        <item x="154"/>
        <item x="72"/>
        <item x="75"/>
        <item x="244"/>
        <item x="305"/>
        <item x="127"/>
        <item x="243"/>
        <item x="3"/>
        <item x="76"/>
        <item x="275"/>
        <item x="79"/>
        <item x="201"/>
        <item x="306"/>
        <item x="103"/>
        <item x="217"/>
        <item x="84"/>
        <item x="111"/>
        <item x="260"/>
        <item x="214"/>
        <item x="278"/>
        <item x="235"/>
        <item x="119"/>
        <item x="112"/>
        <item x="80"/>
        <item x="98"/>
        <item x="282"/>
        <item x="177"/>
        <item x="198"/>
        <item x="144"/>
        <item x="207"/>
        <item x="44"/>
        <item x="118"/>
        <item x="64"/>
        <item x="141"/>
        <item x="171"/>
        <item x="162"/>
        <item x="86"/>
        <item x="110"/>
        <item x="153"/>
        <item x="99"/>
        <item x="238"/>
        <item x="108"/>
        <item x="250"/>
        <item x="262"/>
        <item x="191"/>
        <item x="142"/>
        <item x="253"/>
        <item x="234"/>
        <item x="189"/>
        <item x="140"/>
        <item x="81"/>
        <item x="109"/>
        <item x="223"/>
        <item x="216"/>
        <item x="7"/>
        <item x="181"/>
        <item x="284"/>
        <item x="277"/>
        <item x="133"/>
        <item x="114"/>
        <item x="121"/>
        <item x="287"/>
        <item x="126"/>
        <item x="35"/>
        <item x="102"/>
        <item x="82"/>
        <item x="236"/>
        <item x="245"/>
        <item x="149"/>
        <item x="150"/>
        <item x="73"/>
        <item x="264"/>
        <item x="33"/>
        <item x="96"/>
        <item x="135"/>
        <item x="178"/>
        <item x="88"/>
        <item x="39"/>
        <item x="179"/>
        <item x="46"/>
        <item x="156"/>
        <item x="195"/>
        <item x="193"/>
        <item x="123"/>
        <item x="176"/>
        <item x="94"/>
        <item x="158"/>
        <item x="93"/>
        <item x="38"/>
        <item x="242"/>
        <item x="226"/>
        <item x="281"/>
        <item x="90"/>
        <item x="12"/>
        <item x="115"/>
        <item x="107"/>
        <item x="92"/>
        <item x="78"/>
        <item x="175"/>
        <item x="106"/>
        <item x="130"/>
        <item x="125"/>
        <item x="291"/>
        <item x="100"/>
        <item x="218"/>
        <item x="11"/>
        <item x="267"/>
        <item x="122"/>
        <item x="137"/>
        <item x="206"/>
        <item x="77"/>
        <item x="168"/>
        <item x="105"/>
        <item x="188"/>
        <item x="279"/>
        <item x="87"/>
        <item x="132"/>
        <item x="152"/>
        <item x="60"/>
        <item x="225"/>
        <item x="160"/>
        <item x="131"/>
        <item x="9"/>
        <item x="101"/>
        <item x="143"/>
        <item x="210"/>
        <item x="134"/>
        <item x="227"/>
        <item x="138"/>
        <item x="47"/>
        <item x="97"/>
        <item x="29"/>
        <item x="151"/>
        <item x="124"/>
        <item x="23"/>
        <item x="48"/>
        <item x="251"/>
        <item x="211"/>
        <item x="145"/>
        <item x="14"/>
        <item x="266"/>
        <item x="302"/>
        <item x="289"/>
        <item x="280"/>
        <item x="167"/>
        <item x="26"/>
        <item x="36"/>
        <item x="194"/>
        <item x="54"/>
        <item x="27"/>
        <item x="208"/>
        <item x="269"/>
        <item x="190"/>
        <item x="182"/>
        <item x="205"/>
        <item x="183"/>
        <item x="74"/>
        <item x="247"/>
        <item x="180"/>
        <item x="248"/>
        <item x="165"/>
        <item x="222"/>
        <item x="265"/>
        <item x="228"/>
        <item x="173"/>
        <item x="139"/>
        <item x="268"/>
        <item x="310"/>
        <item x="230"/>
        <item x="61"/>
        <item x="8"/>
        <item x="66"/>
        <item x="24"/>
        <item x="254"/>
        <item x="37"/>
        <item x="166"/>
        <item x="163"/>
        <item x="17"/>
        <item x="272"/>
        <item x="1"/>
        <item x="308"/>
        <item x="212"/>
        <item x="309"/>
        <item x="224"/>
        <item x="40"/>
        <item x="5"/>
        <item x="202"/>
        <item x="83"/>
        <item x="18"/>
        <item x="220"/>
        <item x="274"/>
        <item x="209"/>
        <item x="197"/>
        <item x="34"/>
        <item x="290"/>
        <item x="303"/>
        <item x="192"/>
        <item x="184"/>
        <item x="187"/>
        <item x="271"/>
        <item x="185"/>
        <item x="304"/>
        <item x="159"/>
        <item x="43"/>
        <item x="203"/>
        <item x="186"/>
        <item x="63"/>
        <item x="32"/>
        <item x="241"/>
        <item x="233"/>
        <item x="16"/>
        <item x="6"/>
        <item x="298"/>
        <item x="22"/>
        <item x="295"/>
        <item x="257"/>
        <item x="170"/>
        <item x="285"/>
        <item x="249"/>
        <item x="0"/>
        <item x="239"/>
        <item x="155"/>
        <item x="204"/>
        <item x="297"/>
        <item x="258"/>
        <item x="300"/>
        <item x="172"/>
        <item x="45"/>
        <item x="292"/>
        <item x="164"/>
        <item x="59"/>
        <item x="286"/>
        <item x="270"/>
        <item x="70"/>
        <item x="273"/>
        <item x="28"/>
        <item x="288"/>
        <item x="19"/>
        <item x="4"/>
        <item x="30"/>
        <item x="157"/>
        <item x="283"/>
        <item x="215"/>
        <item x="2"/>
        <item x="256"/>
        <item x="311"/>
        <item x="259"/>
        <item x="41"/>
        <item x="213"/>
        <item x="50"/>
        <item x="294"/>
        <item x="229"/>
        <item x="31"/>
        <item x="252"/>
        <item x="52"/>
        <item x="169"/>
        <item x="13"/>
        <item x="196"/>
        <item x="240"/>
        <item x="276"/>
        <item x="237"/>
        <item x="200"/>
        <item x="199"/>
        <item x="161"/>
        <item x="299"/>
        <item x="65"/>
        <item x="25"/>
        <item x="55"/>
        <item x="246"/>
        <item x="71"/>
        <item x="62"/>
        <item x="69"/>
        <item x="10"/>
        <item x="58"/>
        <item x="67"/>
        <item x="15"/>
        <item x="20"/>
        <item x="49"/>
        <item x="68"/>
        <item x="301"/>
        <item x="56"/>
        <item x="21"/>
        <item x="296"/>
        <item x="255"/>
        <item x="57"/>
        <item x="53"/>
        <item x="42"/>
        <item x="261"/>
        <item x="312"/>
        <item t="default"/>
      </items>
    </pivotField>
    <pivotField showAll="0">
      <items count="292">
        <item x="0"/>
        <item x="82"/>
        <item x="80"/>
        <item x="76"/>
        <item x="154"/>
        <item x="75"/>
        <item x="151"/>
        <item x="77"/>
        <item x="99"/>
        <item x="263"/>
        <item x="86"/>
        <item x="79"/>
        <item x="269"/>
        <item x="109"/>
        <item x="81"/>
        <item x="157"/>
        <item x="148"/>
        <item x="78"/>
        <item x="95"/>
        <item x="3"/>
        <item x="147"/>
        <item x="121"/>
        <item x="262"/>
        <item x="153"/>
        <item x="158"/>
        <item x="159"/>
        <item x="105"/>
        <item x="108"/>
        <item x="156"/>
        <item x="138"/>
        <item x="1"/>
        <item x="74"/>
        <item x="84"/>
        <item x="139"/>
        <item x="128"/>
        <item x="83"/>
        <item x="155"/>
        <item x="150"/>
        <item x="161"/>
        <item x="120"/>
        <item x="212"/>
        <item x="202"/>
        <item x="152"/>
        <item x="261"/>
        <item x="94"/>
        <item x="87"/>
        <item x="5"/>
        <item x="112"/>
        <item x="140"/>
        <item x="200"/>
        <item x="171"/>
        <item x="181"/>
        <item x="89"/>
        <item x="85"/>
        <item x="149"/>
        <item x="169"/>
        <item x="178"/>
        <item x="265"/>
        <item x="213"/>
        <item x="90"/>
        <item x="47"/>
        <item x="267"/>
        <item x="4"/>
        <item x="7"/>
        <item x="103"/>
        <item x="119"/>
        <item x="104"/>
        <item x="102"/>
        <item x="198"/>
        <item x="266"/>
        <item x="284"/>
        <item x="195"/>
        <item x="8"/>
        <item x="93"/>
        <item x="100"/>
        <item x="187"/>
        <item x="111"/>
        <item x="225"/>
        <item x="2"/>
        <item x="101"/>
        <item x="224"/>
        <item x="243"/>
        <item x="175"/>
        <item x="173"/>
        <item x="282"/>
        <item x="162"/>
        <item x="163"/>
        <item x="40"/>
        <item x="160"/>
        <item x="168"/>
        <item x="110"/>
        <item x="264"/>
        <item x="68"/>
        <item x="98"/>
        <item x="146"/>
        <item x="216"/>
        <item x="106"/>
        <item x="88"/>
        <item x="71"/>
        <item x="97"/>
        <item x="91"/>
        <item x="31"/>
        <item x="10"/>
        <item x="29"/>
        <item x="197"/>
        <item x="96"/>
        <item x="164"/>
        <item x="72"/>
        <item x="283"/>
        <item x="165"/>
        <item x="113"/>
        <item x="255"/>
        <item x="170"/>
        <item x="92"/>
        <item x="240"/>
        <item x="204"/>
        <item x="219"/>
        <item x="118"/>
        <item x="215"/>
        <item x="35"/>
        <item x="19"/>
        <item x="186"/>
        <item x="107"/>
        <item x="231"/>
        <item x="136"/>
        <item x="115"/>
        <item x="258"/>
        <item x="174"/>
        <item x="34"/>
        <item x="60"/>
        <item x="167"/>
        <item x="133"/>
        <item x="217"/>
        <item x="42"/>
        <item x="25"/>
        <item x="125"/>
        <item x="166"/>
        <item x="132"/>
        <item x="20"/>
        <item x="242"/>
        <item x="13"/>
        <item x="134"/>
        <item x="117"/>
        <item x="207"/>
        <item x="199"/>
        <item x="191"/>
        <item x="226"/>
        <item x="22"/>
        <item x="23"/>
        <item x="114"/>
        <item x="268"/>
        <item x="185"/>
        <item x="14"/>
        <item x="127"/>
        <item x="177"/>
        <item x="145"/>
        <item x="172"/>
        <item x="192"/>
        <item x="6"/>
        <item x="12"/>
        <item x="32"/>
        <item x="274"/>
        <item x="18"/>
        <item x="244"/>
        <item x="223"/>
        <item x="188"/>
        <item x="271"/>
        <item x="116"/>
        <item x="122"/>
        <item x="257"/>
        <item x="182"/>
        <item x="206"/>
        <item x="9"/>
        <item x="141"/>
        <item x="142"/>
        <item x="69"/>
        <item x="208"/>
        <item x="43"/>
        <item x="15"/>
        <item x="183"/>
        <item x="193"/>
        <item x="123"/>
        <item x="44"/>
        <item x="279"/>
        <item x="124"/>
        <item x="184"/>
        <item x="270"/>
        <item x="189"/>
        <item x="190"/>
        <item x="273"/>
        <item x="30"/>
        <item x="129"/>
        <item x="33"/>
        <item x="126"/>
        <item x="176"/>
        <item x="24"/>
        <item x="203"/>
        <item x="11"/>
        <item x="209"/>
        <item x="179"/>
        <item x="28"/>
        <item x="56"/>
        <item x="36"/>
        <item x="211"/>
        <item x="275"/>
        <item x="232"/>
        <item x="130"/>
        <item x="21"/>
        <item x="277"/>
        <item x="247"/>
        <item x="205"/>
        <item x="39"/>
        <item x="135"/>
        <item x="50"/>
        <item x="201"/>
        <item x="228"/>
        <item x="180"/>
        <item x="26"/>
        <item x="229"/>
        <item x="73"/>
        <item x="259"/>
        <item x="144"/>
        <item x="16"/>
        <item x="194"/>
        <item x="246"/>
        <item x="27"/>
        <item x="17"/>
        <item x="143"/>
        <item x="131"/>
        <item x="137"/>
        <item x="57"/>
        <item x="196"/>
        <item x="234"/>
        <item x="41"/>
        <item x="245"/>
        <item x="276"/>
        <item x="222"/>
        <item x="37"/>
        <item x="214"/>
        <item x="249"/>
        <item x="280"/>
        <item x="62"/>
        <item x="220"/>
        <item x="260"/>
        <item x="281"/>
        <item x="248"/>
        <item x="272"/>
        <item x="70"/>
        <item x="210"/>
        <item x="230"/>
        <item x="288"/>
        <item x="252"/>
        <item x="59"/>
        <item x="285"/>
        <item x="287"/>
        <item x="237"/>
        <item x="46"/>
        <item x="254"/>
        <item x="238"/>
        <item x="48"/>
        <item x="55"/>
        <item x="251"/>
        <item x="221"/>
        <item x="218"/>
        <item x="236"/>
        <item x="38"/>
        <item x="45"/>
        <item x="250"/>
        <item x="233"/>
        <item x="66"/>
        <item x="253"/>
        <item x="278"/>
        <item x="239"/>
        <item x="286"/>
        <item x="51"/>
        <item x="227"/>
        <item x="289"/>
        <item x="54"/>
        <item x="61"/>
        <item x="58"/>
        <item x="52"/>
        <item x="256"/>
        <item x="53"/>
        <item x="49"/>
        <item x="67"/>
        <item x="63"/>
        <item x="235"/>
        <item x="64"/>
        <item x="65"/>
        <item x="241"/>
        <item x="290"/>
        <item t="default"/>
      </items>
    </pivotField>
    <pivotField dataField="1" showAll="0">
      <items count="319">
        <item x="118"/>
        <item x="147"/>
        <item x="108"/>
        <item x="148"/>
        <item x="91"/>
        <item x="130"/>
        <item x="149"/>
        <item x="137"/>
        <item x="89"/>
        <item x="296"/>
        <item x="117"/>
        <item x="129"/>
        <item x="233"/>
        <item x="223"/>
        <item x="114"/>
        <item x="311"/>
        <item x="95"/>
        <item x="104"/>
        <item x="221"/>
        <item x="234"/>
        <item x="265"/>
        <item x="155"/>
        <item x="51"/>
        <item x="121"/>
        <item x="283"/>
        <item x="85"/>
        <item x="72"/>
        <item x="75"/>
        <item x="175"/>
        <item x="76"/>
        <item x="309"/>
        <item x="246"/>
        <item x="276"/>
        <item x="245"/>
        <item x="128"/>
        <item x="3"/>
        <item x="310"/>
        <item x="79"/>
        <item x="279"/>
        <item x="262"/>
        <item x="202"/>
        <item x="219"/>
        <item x="112"/>
        <item x="103"/>
        <item x="216"/>
        <item x="237"/>
        <item x="120"/>
        <item x="84"/>
        <item x="145"/>
        <item x="113"/>
        <item x="64"/>
        <item x="98"/>
        <item x="142"/>
        <item x="199"/>
        <item x="80"/>
        <item x="44"/>
        <item x="119"/>
        <item x="208"/>
        <item x="178"/>
        <item x="154"/>
        <item x="284"/>
        <item x="264"/>
        <item x="240"/>
        <item x="252"/>
        <item x="143"/>
        <item x="111"/>
        <item x="255"/>
        <item x="172"/>
        <item x="99"/>
        <item x="141"/>
        <item x="86"/>
        <item x="236"/>
        <item x="163"/>
        <item x="109"/>
        <item x="278"/>
        <item x="225"/>
        <item x="192"/>
        <item x="218"/>
        <item x="134"/>
        <item x="110"/>
        <item x="190"/>
        <item x="127"/>
        <item x="122"/>
        <item x="115"/>
        <item x="150"/>
        <item x="151"/>
        <item x="73"/>
        <item x="81"/>
        <item x="182"/>
        <item x="266"/>
        <item x="7"/>
        <item x="238"/>
        <item x="247"/>
        <item x="35"/>
        <item x="286"/>
        <item x="290"/>
        <item x="102"/>
        <item x="136"/>
        <item x="33"/>
        <item x="82"/>
        <item x="39"/>
        <item x="96"/>
        <item x="46"/>
        <item x="179"/>
        <item x="124"/>
        <item x="88"/>
        <item x="196"/>
        <item x="180"/>
        <item x="244"/>
        <item x="194"/>
        <item x="38"/>
        <item x="228"/>
        <item x="94"/>
        <item x="157"/>
        <item x="177"/>
        <item x="93"/>
        <item x="159"/>
        <item x="116"/>
        <item x="12"/>
        <item x="107"/>
        <item x="269"/>
        <item x="90"/>
        <item x="282"/>
        <item x="131"/>
        <item x="77"/>
        <item x="92"/>
        <item x="138"/>
        <item x="280"/>
        <item x="78"/>
        <item x="126"/>
        <item x="153"/>
        <item x="220"/>
        <item x="176"/>
        <item x="106"/>
        <item x="123"/>
        <item x="100"/>
        <item x="133"/>
        <item x="60"/>
        <item x="294"/>
        <item x="11"/>
        <item x="207"/>
        <item x="144"/>
        <item x="105"/>
        <item x="227"/>
        <item x="132"/>
        <item x="139"/>
        <item x="135"/>
        <item x="189"/>
        <item x="169"/>
        <item x="229"/>
        <item x="152"/>
        <item x="87"/>
        <item x="212"/>
        <item x="47"/>
        <item x="101"/>
        <item x="146"/>
        <item x="281"/>
        <item x="9"/>
        <item x="268"/>
        <item x="253"/>
        <item x="161"/>
        <item x="125"/>
        <item x="29"/>
        <item x="48"/>
        <item x="97"/>
        <item x="306"/>
        <item x="213"/>
        <item x="270"/>
        <item x="23"/>
        <item x="74"/>
        <item x="54"/>
        <item x="14"/>
        <item x="267"/>
        <item x="315"/>
        <item x="249"/>
        <item x="36"/>
        <item x="250"/>
        <item x="292"/>
        <item x="26"/>
        <item x="209"/>
        <item x="140"/>
        <item x="27"/>
        <item x="195"/>
        <item x="224"/>
        <item x="230"/>
        <item x="206"/>
        <item x="61"/>
        <item x="66"/>
        <item x="191"/>
        <item x="168"/>
        <item x="183"/>
        <item x="232"/>
        <item x="256"/>
        <item x="184"/>
        <item x="289"/>
        <item x="273"/>
        <item x="181"/>
        <item x="312"/>
        <item x="314"/>
        <item x="166"/>
        <item x="37"/>
        <item x="174"/>
        <item x="24"/>
        <item x="275"/>
        <item x="8"/>
        <item x="226"/>
        <item x="301"/>
        <item x="214"/>
        <item x="17"/>
        <item x="40"/>
        <item x="222"/>
        <item x="272"/>
        <item x="167"/>
        <item x="307"/>
        <item x="164"/>
        <item x="203"/>
        <item x="210"/>
        <item x="211"/>
        <item x="18"/>
        <item x="1"/>
        <item x="34"/>
        <item x="308"/>
        <item x="198"/>
        <item x="63"/>
        <item x="5"/>
        <item x="83"/>
        <item x="193"/>
        <item x="243"/>
        <item x="43"/>
        <item x="235"/>
        <item x="259"/>
        <item x="293"/>
        <item x="185"/>
        <item x="188"/>
        <item x="32"/>
        <item x="204"/>
        <item x="251"/>
        <item x="186"/>
        <item x="260"/>
        <item x="187"/>
        <item x="241"/>
        <item x="302"/>
        <item x="271"/>
        <item x="16"/>
        <item x="70"/>
        <item x="22"/>
        <item x="274"/>
        <item x="298"/>
        <item x="59"/>
        <item x="160"/>
        <item x="6"/>
        <item x="205"/>
        <item x="45"/>
        <item x="304"/>
        <item x="300"/>
        <item x="171"/>
        <item x="313"/>
        <item x="287"/>
        <item x="0"/>
        <item x="295"/>
        <item x="316"/>
        <item x="156"/>
        <item x="173"/>
        <item x="28"/>
        <item x="261"/>
        <item x="258"/>
        <item x="165"/>
        <item x="288"/>
        <item x="30"/>
        <item x="19"/>
        <item x="217"/>
        <item x="291"/>
        <item x="50"/>
        <item x="254"/>
        <item x="41"/>
        <item x="231"/>
        <item x="277"/>
        <item x="215"/>
        <item x="4"/>
        <item x="52"/>
        <item x="31"/>
        <item x="158"/>
        <item x="285"/>
        <item x="297"/>
        <item x="2"/>
        <item x="242"/>
        <item x="239"/>
        <item x="65"/>
        <item x="197"/>
        <item x="13"/>
        <item x="201"/>
        <item x="200"/>
        <item x="170"/>
        <item x="303"/>
        <item x="71"/>
        <item x="55"/>
        <item x="248"/>
        <item x="162"/>
        <item x="25"/>
        <item x="69"/>
        <item x="62"/>
        <item x="67"/>
        <item x="58"/>
        <item x="68"/>
        <item x="49"/>
        <item x="56"/>
        <item x="10"/>
        <item x="305"/>
        <item x="20"/>
        <item x="15"/>
        <item x="257"/>
        <item x="263"/>
        <item x="57"/>
        <item x="53"/>
        <item x="299"/>
        <item x="21"/>
        <item x="42"/>
        <item x="317"/>
        <item t="default"/>
      </items>
    </pivotField>
    <pivotField showAll="0"/>
    <pivotField showAll="0"/>
    <pivotField showAll="0"/>
    <pivotField showAll="0"/>
    <pivotField axis="axisRow" showAll="0">
      <items count="14">
        <item x="0"/>
        <item x="2"/>
        <item x="11"/>
        <item x="7"/>
        <item x="8"/>
        <item x="1"/>
        <item x="4"/>
        <item x="10"/>
        <item x="9"/>
        <item x="5"/>
        <item x="6"/>
        <item x="3"/>
        <item x="12"/>
        <item t="default"/>
      </items>
    </pivotField>
    <pivotField showAll="0"/>
  </pivotFields>
  <rowFields count="1">
    <field x="14"/>
  </rowFields>
  <rowItems count="14">
    <i>
      <x/>
    </i>
    <i>
      <x v="1"/>
    </i>
    <i>
      <x v="2"/>
    </i>
    <i>
      <x v="3"/>
    </i>
    <i>
      <x v="4"/>
    </i>
    <i>
      <x v="5"/>
    </i>
    <i>
      <x v="6"/>
    </i>
    <i>
      <x v="7"/>
    </i>
    <i>
      <x v="8"/>
    </i>
    <i>
      <x v="9"/>
    </i>
    <i>
      <x v="10"/>
    </i>
    <i>
      <x v="11"/>
    </i>
    <i>
      <x v="12"/>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429AB6-A2A9-A946-9F15-D1066924EB1A}"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B31" firstHeaderRow="1" firstDataRow="1" firstDataCol="1"/>
  <pivotFields count="16">
    <pivotField showAll="0">
      <items count="6">
        <item x="2"/>
        <item x="3"/>
        <item x="0"/>
        <item x="1"/>
        <item x="4"/>
        <item t="default"/>
      </items>
    </pivotField>
    <pivotField showAll="0">
      <items count="7">
        <item x="0"/>
        <item x="2"/>
        <item x="1"/>
        <item x="4"/>
        <item x="3"/>
        <item x="5"/>
        <item t="default"/>
      </items>
    </pivotField>
    <pivotField axis="axisRow" showAll="0">
      <items count="8">
        <item x="4"/>
        <item x="0"/>
        <item x="1"/>
        <item x="2"/>
        <item x="5"/>
        <item x="3"/>
        <item x="6"/>
        <item t="default"/>
      </items>
    </pivotField>
    <pivotField showAll="0"/>
    <pivotField showAll="0">
      <items count="306">
        <item x="286"/>
        <item x="51"/>
        <item x="217"/>
        <item x="116"/>
        <item x="72"/>
        <item x="91"/>
        <item x="75"/>
        <item x="299"/>
        <item x="144"/>
        <item x="3"/>
        <item x="76"/>
        <item x="226"/>
        <item x="171"/>
        <item x="166"/>
        <item x="232"/>
        <item x="158"/>
        <item x="128"/>
        <item x="89"/>
        <item x="215"/>
        <item x="134"/>
        <item x="238"/>
        <item x="227"/>
        <item x="145"/>
        <item x="257"/>
        <item x="44"/>
        <item x="64"/>
        <item x="239"/>
        <item x="115"/>
        <item x="210"/>
        <item x="271"/>
        <item x="268"/>
        <item x="230"/>
        <item x="127"/>
        <item x="7"/>
        <item x="112"/>
        <item x="275"/>
        <item x="194"/>
        <item x="197"/>
        <item x="103"/>
        <item x="298"/>
        <item x="35"/>
        <item x="213"/>
        <item x="254"/>
        <item x="73"/>
        <item x="33"/>
        <item x="159"/>
        <item x="85"/>
        <item x="233"/>
        <item x="39"/>
        <item x="245"/>
        <item x="256"/>
        <item x="46"/>
        <item x="188"/>
        <item x="247"/>
        <item x="119"/>
        <item x="229"/>
        <item x="174"/>
        <item x="38"/>
        <item x="212"/>
        <item x="151"/>
        <item x="203"/>
        <item x="12"/>
        <item x="280"/>
        <item x="168"/>
        <item x="231"/>
        <item x="126"/>
        <item x="11"/>
        <item x="77"/>
        <item x="186"/>
        <item x="219"/>
        <item x="79"/>
        <item x="153"/>
        <item x="60"/>
        <item x="178"/>
        <item x="277"/>
        <item x="270"/>
        <item x="155"/>
        <item x="9"/>
        <item x="222"/>
        <item x="47"/>
        <item x="274"/>
        <item x="29"/>
        <item x="240"/>
        <item x="258"/>
        <item x="102"/>
        <item x="84"/>
        <item x="110"/>
        <item x="23"/>
        <item x="48"/>
        <item x="175"/>
        <item x="14"/>
        <item x="176"/>
        <item x="118"/>
        <item x="191"/>
        <item x="26"/>
        <item x="36"/>
        <item x="54"/>
        <item x="27"/>
        <item x="111"/>
        <item x="173"/>
        <item x="80"/>
        <item x="202"/>
        <item x="74"/>
        <item x="97"/>
        <item x="272"/>
        <item x="142"/>
        <item x="237"/>
        <item x="221"/>
        <item x="61"/>
        <item x="8"/>
        <item x="66"/>
        <item x="117"/>
        <item x="206"/>
        <item x="24"/>
        <item x="37"/>
        <item x="172"/>
        <item x="139"/>
        <item x="17"/>
        <item x="1"/>
        <item x="86"/>
        <item x="109"/>
        <item x="40"/>
        <item x="150"/>
        <item x="284"/>
        <item x="98"/>
        <item x="214"/>
        <item x="5"/>
        <item x="18"/>
        <item x="261"/>
        <item x="107"/>
        <item x="34"/>
        <item x="140"/>
        <item x="165"/>
        <item x="185"/>
        <item x="138"/>
        <item x="81"/>
        <item x="108"/>
        <item x="263"/>
        <item x="187"/>
        <item x="43"/>
        <item x="201"/>
        <item x="63"/>
        <item x="32"/>
        <item x="157"/>
        <item x="243"/>
        <item x="16"/>
        <item x="259"/>
        <item x="6"/>
        <item x="22"/>
        <item x="223"/>
        <item x="113"/>
        <item x="120"/>
        <item x="125"/>
        <item x="302"/>
        <item x="0"/>
        <item x="225"/>
        <item x="101"/>
        <item x="82"/>
        <item x="45"/>
        <item x="59"/>
        <item x="146"/>
        <item x="147"/>
        <item x="246"/>
        <item x="207"/>
        <item x="70"/>
        <item x="28"/>
        <item x="95"/>
        <item x="300"/>
        <item x="260"/>
        <item x="295"/>
        <item x="282"/>
        <item x="19"/>
        <item x="273"/>
        <item x="133"/>
        <item x="4"/>
        <item x="88"/>
        <item x="30"/>
        <item x="164"/>
        <item x="190"/>
        <item x="267"/>
        <item x="204"/>
        <item x="2"/>
        <item x="179"/>
        <item x="180"/>
        <item x="283"/>
        <item x="41"/>
        <item x="242"/>
        <item x="181"/>
        <item x="122"/>
        <item x="177"/>
        <item x="162"/>
        <item x="50"/>
        <item x="218"/>
        <item x="94"/>
        <item x="184"/>
        <item x="31"/>
        <item x="297"/>
        <item x="170"/>
        <item x="93"/>
        <item x="262"/>
        <item x="199"/>
        <item x="183"/>
        <item x="52"/>
        <item x="228"/>
        <item x="13"/>
        <item x="90"/>
        <item x="291"/>
        <item x="248"/>
        <item x="288"/>
        <item x="114"/>
        <item x="106"/>
        <item x="163"/>
        <item x="92"/>
        <item x="78"/>
        <item x="278"/>
        <item x="244"/>
        <item x="160"/>
        <item x="234"/>
        <item x="152"/>
        <item x="290"/>
        <item x="169"/>
        <item x="208"/>
        <item x="301"/>
        <item x="220"/>
        <item x="65"/>
        <item x="285"/>
        <item x="279"/>
        <item x="25"/>
        <item x="198"/>
        <item x="264"/>
        <item x="216"/>
        <item x="105"/>
        <item x="129"/>
        <item x="124"/>
        <item x="205"/>
        <item x="193"/>
        <item x="99"/>
        <item x="281"/>
        <item x="55"/>
        <item x="121"/>
        <item x="135"/>
        <item x="296"/>
        <item x="71"/>
        <item x="189"/>
        <item x="154"/>
        <item x="276"/>
        <item x="265"/>
        <item x="182"/>
        <item x="104"/>
        <item x="211"/>
        <item x="156"/>
        <item x="62"/>
        <item x="87"/>
        <item x="131"/>
        <item x="149"/>
        <item x="250"/>
        <item x="303"/>
        <item x="253"/>
        <item x="236"/>
        <item x="69"/>
        <item x="10"/>
        <item x="287"/>
        <item x="224"/>
        <item x="58"/>
        <item x="67"/>
        <item x="15"/>
        <item x="251"/>
        <item x="20"/>
        <item x="130"/>
        <item x="167"/>
        <item x="49"/>
        <item x="100"/>
        <item x="141"/>
        <item x="132"/>
        <item x="68"/>
        <item x="200"/>
        <item x="136"/>
        <item x="252"/>
        <item x="293"/>
        <item x="192"/>
        <item x="56"/>
        <item x="269"/>
        <item x="21"/>
        <item x="161"/>
        <item x="196"/>
        <item x="96"/>
        <item x="195"/>
        <item x="148"/>
        <item x="123"/>
        <item x="266"/>
        <item x="292"/>
        <item x="57"/>
        <item x="53"/>
        <item x="42"/>
        <item x="143"/>
        <item x="241"/>
        <item x="209"/>
        <item x="137"/>
        <item x="235"/>
        <item x="294"/>
        <item x="289"/>
        <item x="249"/>
        <item x="83"/>
        <item x="255"/>
        <item x="304"/>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7BB182-839E-DD41-A0E8-CB49A8B481EC}"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7" firstHeaderRow="1" firstDataRow="1" firstDataCol="1"/>
  <pivotFields count="16">
    <pivotField showAll="0">
      <items count="5">
        <item x="2"/>
        <item x="3"/>
        <item x="0"/>
        <item x="1"/>
        <item t="default"/>
      </items>
    </pivotField>
    <pivotField axis="axisRow" showAll="0">
      <items count="6">
        <item x="0"/>
        <item x="2"/>
        <item x="1"/>
        <item x="4"/>
        <item x="3"/>
        <item t="default"/>
      </items>
    </pivotField>
    <pivotField showAll="0">
      <items count="7">
        <item x="4"/>
        <item x="0"/>
        <item x="1"/>
        <item x="2"/>
        <item x="5"/>
        <item x="3"/>
        <item t="default"/>
      </items>
    </pivotField>
    <pivotField showAll="0">
      <items count="4">
        <item x="0"/>
        <item x="1"/>
        <item x="2"/>
        <item t="default"/>
      </items>
    </pivotField>
    <pivotField showAll="0"/>
    <pivotField showAll="0"/>
    <pivotField showAll="0"/>
    <pivotField showAll="0"/>
    <pivotField showAll="0"/>
    <pivotField dataField="1" showAll="0"/>
    <pivotField showAll="0"/>
    <pivotField showAll="0"/>
    <pivotField numFmtId="165" showAll="0"/>
    <pivotField showAll="0"/>
    <pivotField showAll="0"/>
    <pivotField showAll="0"/>
  </pivotFields>
  <rowFields count="1">
    <field x="1"/>
  </rowFields>
  <rowItems count="6">
    <i>
      <x/>
    </i>
    <i>
      <x v="1"/>
    </i>
    <i>
      <x v="2"/>
    </i>
    <i>
      <x v="3"/>
    </i>
    <i>
      <x v="4"/>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7A2C353-F640-BF45-A473-6522B7DB7E8A}" sourceName="Segment">
  <pivotTables>
    <pivotTable tabId="2" name="PivotTable1"/>
  </pivotTables>
  <data>
    <tabular pivotCacheId="61293450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AE93BBE-12DA-824D-A101-4FB054651AEC}" sourceName="Country">
  <pivotTables>
    <pivotTable tabId="2" name="PivotTable1"/>
  </pivotTables>
  <data>
    <tabular pivotCacheId="612934503">
      <items count="5">
        <i x="0" s="1"/>
        <i x="2" s="1"/>
        <i x="1"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FF95A94-FCB4-C24E-89BA-1ED6FCFEB568}" sourceName="Product">
  <pivotTables>
    <pivotTable tabId="2" name="PivotTable1"/>
  </pivotTables>
  <data>
    <tabular pivotCacheId="612934503">
      <items count="6">
        <i x="4" s="1"/>
        <i x="0" s="1"/>
        <i x="1" s="1"/>
        <i x="2" s="1"/>
        <i x="5"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195FCF36-BB3C-FC47-B0FE-55D3151E7016}" sourceName="Discount Band">
  <pivotTables>
    <pivotTable tabId="2" name="PivotTable1"/>
  </pivotTables>
  <data>
    <tabular pivotCacheId="612934503">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567B0F98-372C-2044-98EA-B9F30303798D}" sourceName="Segment">
  <pivotTables>
    <pivotTable tabId="2" name="PivotTable2"/>
  </pivotTables>
  <data>
    <tabular pivotCacheId="283523360">
      <items count="5">
        <i x="2" s="1"/>
        <i x="3" s="1"/>
        <i x="0" s="1"/>
        <i x="1" s="1"/>
        <i x="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13B94A5E-65F4-BA4B-B345-AD711E073976}" sourceName="Country">
  <pivotTables>
    <pivotTable tabId="2" name="PivotTable2"/>
  </pivotTables>
  <data>
    <tabular pivotCacheId="283523360">
      <items count="6">
        <i x="0" s="1"/>
        <i x="2" s="1"/>
        <i x="1" s="1"/>
        <i x="4" s="1"/>
        <i x="3" s="1"/>
        <i x="5"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595E0D3A-1DED-DD4D-A085-3E9C41D07D26}" sourceName="Product">
  <pivotTables>
    <pivotTable tabId="2" name="PivotTable2"/>
  </pivotTables>
  <data>
    <tabular pivotCacheId="283523360">
      <items count="7">
        <i x="4" s="1"/>
        <i x="0" s="1"/>
        <i x="1" s="1"/>
        <i x="2" s="1"/>
        <i x="5" s="1"/>
        <i x="3" s="1"/>
        <i x="6"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s_Sold" xr10:uid="{0BF1BD19-E591-E54B-AE3B-80A25430660B}" sourceName="Units Sold">
  <pivotTables>
    <pivotTable tabId="2" name="PivotTable2"/>
  </pivotTables>
  <data>
    <tabular pivotCacheId="283523360">
      <items count="305">
        <i x="286" s="1"/>
        <i x="51" s="1"/>
        <i x="217" s="1"/>
        <i x="116" s="1"/>
        <i x="72" s="1"/>
        <i x="91" s="1"/>
        <i x="75" s="1"/>
        <i x="299" s="1"/>
        <i x="144" s="1"/>
        <i x="3" s="1"/>
        <i x="76" s="1"/>
        <i x="226" s="1"/>
        <i x="171" s="1"/>
        <i x="166" s="1"/>
        <i x="232" s="1"/>
        <i x="158" s="1"/>
        <i x="128" s="1"/>
        <i x="89" s="1"/>
        <i x="215" s="1"/>
        <i x="134" s="1"/>
        <i x="238" s="1"/>
        <i x="227" s="1"/>
        <i x="145" s="1"/>
        <i x="257" s="1"/>
        <i x="44" s="1"/>
        <i x="64" s="1"/>
        <i x="239" s="1"/>
        <i x="115" s="1"/>
        <i x="210" s="1"/>
        <i x="271" s="1"/>
        <i x="268" s="1"/>
        <i x="230" s="1"/>
        <i x="127" s="1"/>
        <i x="7" s="1"/>
        <i x="112" s="1"/>
        <i x="275" s="1"/>
        <i x="194" s="1"/>
        <i x="197" s="1"/>
        <i x="103" s="1"/>
        <i x="298" s="1"/>
        <i x="35" s="1"/>
        <i x="213" s="1"/>
        <i x="254" s="1"/>
        <i x="73" s="1"/>
        <i x="33" s="1"/>
        <i x="159" s="1"/>
        <i x="85" s="1"/>
        <i x="233" s="1"/>
        <i x="39" s="1"/>
        <i x="245" s="1"/>
        <i x="256" s="1"/>
        <i x="46" s="1"/>
        <i x="188" s="1"/>
        <i x="247" s="1"/>
        <i x="119" s="1"/>
        <i x="229" s="1"/>
        <i x="174" s="1"/>
        <i x="38" s="1"/>
        <i x="212" s="1"/>
        <i x="151" s="1"/>
        <i x="203" s="1"/>
        <i x="12" s="1"/>
        <i x="280" s="1"/>
        <i x="168" s="1"/>
        <i x="231" s="1"/>
        <i x="126" s="1"/>
        <i x="11" s="1"/>
        <i x="77" s="1"/>
        <i x="186" s="1"/>
        <i x="219" s="1"/>
        <i x="79" s="1"/>
        <i x="153" s="1"/>
        <i x="60" s="1"/>
        <i x="178" s="1"/>
        <i x="277" s="1"/>
        <i x="270" s="1"/>
        <i x="155" s="1"/>
        <i x="9" s="1"/>
        <i x="222" s="1"/>
        <i x="47" s="1"/>
        <i x="274" s="1"/>
        <i x="29" s="1"/>
        <i x="240" s="1"/>
        <i x="258" s="1"/>
        <i x="102" s="1"/>
        <i x="84" s="1"/>
        <i x="110" s="1"/>
        <i x="23" s="1"/>
        <i x="48" s="1"/>
        <i x="175" s="1"/>
        <i x="14" s="1"/>
        <i x="176" s="1"/>
        <i x="118" s="1"/>
        <i x="191" s="1"/>
        <i x="26" s="1"/>
        <i x="36" s="1"/>
        <i x="54" s="1"/>
        <i x="27" s="1"/>
        <i x="111" s="1"/>
        <i x="173" s="1"/>
        <i x="80" s="1"/>
        <i x="202" s="1"/>
        <i x="74" s="1"/>
        <i x="97" s="1"/>
        <i x="272" s="1"/>
        <i x="142" s="1"/>
        <i x="237" s="1"/>
        <i x="221" s="1"/>
        <i x="61" s="1"/>
        <i x="8" s="1"/>
        <i x="66" s="1"/>
        <i x="117" s="1"/>
        <i x="206" s="1"/>
        <i x="24" s="1"/>
        <i x="37" s="1"/>
        <i x="172" s="1"/>
        <i x="139" s="1"/>
        <i x="17" s="1"/>
        <i x="1" s="1"/>
        <i x="86" s="1"/>
        <i x="109" s="1"/>
        <i x="40" s="1"/>
        <i x="150" s="1"/>
        <i x="284" s="1"/>
        <i x="98" s="1"/>
        <i x="214" s="1"/>
        <i x="5" s="1"/>
        <i x="18" s="1"/>
        <i x="261" s="1"/>
        <i x="107" s="1"/>
        <i x="34" s="1"/>
        <i x="140" s="1"/>
        <i x="165" s="1"/>
        <i x="185" s="1"/>
        <i x="138" s="1"/>
        <i x="81" s="1"/>
        <i x="108" s="1"/>
        <i x="263" s="1"/>
        <i x="187" s="1"/>
        <i x="43" s="1"/>
        <i x="201" s="1"/>
        <i x="63" s="1"/>
        <i x="32" s="1"/>
        <i x="157" s="1"/>
        <i x="243" s="1"/>
        <i x="16" s="1"/>
        <i x="259" s="1"/>
        <i x="6" s="1"/>
        <i x="22" s="1"/>
        <i x="223" s="1"/>
        <i x="113" s="1"/>
        <i x="120" s="1"/>
        <i x="125" s="1"/>
        <i x="302" s="1"/>
        <i x="0" s="1"/>
        <i x="225" s="1"/>
        <i x="101" s="1"/>
        <i x="82" s="1"/>
        <i x="45" s="1"/>
        <i x="59" s="1"/>
        <i x="146" s="1"/>
        <i x="147" s="1"/>
        <i x="246" s="1"/>
        <i x="207" s="1"/>
        <i x="70" s="1"/>
        <i x="28" s="1"/>
        <i x="95" s="1"/>
        <i x="300" s="1"/>
        <i x="260" s="1"/>
        <i x="295" s="1"/>
        <i x="282" s="1"/>
        <i x="19" s="1"/>
        <i x="273" s="1"/>
        <i x="133" s="1"/>
        <i x="4" s="1"/>
        <i x="88" s="1"/>
        <i x="30" s="1"/>
        <i x="164" s="1"/>
        <i x="190" s="1"/>
        <i x="267" s="1"/>
        <i x="204" s="1"/>
        <i x="2" s="1"/>
        <i x="179" s="1"/>
        <i x="180" s="1"/>
        <i x="283" s="1"/>
        <i x="41" s="1"/>
        <i x="242" s="1"/>
        <i x="181" s="1"/>
        <i x="122" s="1"/>
        <i x="177" s="1"/>
        <i x="162" s="1"/>
        <i x="50" s="1"/>
        <i x="218" s="1"/>
        <i x="94" s="1"/>
        <i x="184" s="1"/>
        <i x="31" s="1"/>
        <i x="297" s="1"/>
        <i x="170" s="1"/>
        <i x="93" s="1"/>
        <i x="262" s="1"/>
        <i x="199" s="1"/>
        <i x="183" s="1"/>
        <i x="52" s="1"/>
        <i x="228" s="1"/>
        <i x="13" s="1"/>
        <i x="90" s="1"/>
        <i x="291" s="1"/>
        <i x="248" s="1"/>
        <i x="288" s="1"/>
        <i x="114" s="1"/>
        <i x="106" s="1"/>
        <i x="163" s="1"/>
        <i x="92" s="1"/>
        <i x="78" s="1"/>
        <i x="278" s="1"/>
        <i x="244" s="1"/>
        <i x="160" s="1"/>
        <i x="234" s="1"/>
        <i x="152" s="1"/>
        <i x="290" s="1"/>
        <i x="169" s="1"/>
        <i x="208" s="1"/>
        <i x="301" s="1"/>
        <i x="220" s="1"/>
        <i x="65" s="1"/>
        <i x="285" s="1"/>
        <i x="279" s="1"/>
        <i x="25" s="1"/>
        <i x="198" s="1"/>
        <i x="264" s="1"/>
        <i x="216" s="1"/>
        <i x="105" s="1"/>
        <i x="129" s="1"/>
        <i x="124" s="1"/>
        <i x="205" s="1"/>
        <i x="193" s="1"/>
        <i x="99" s="1"/>
        <i x="281" s="1"/>
        <i x="55" s="1"/>
        <i x="121" s="1"/>
        <i x="135" s="1"/>
        <i x="296" s="1"/>
        <i x="71" s="1"/>
        <i x="189" s="1"/>
        <i x="154" s="1"/>
        <i x="276" s="1"/>
        <i x="265" s="1"/>
        <i x="182" s="1"/>
        <i x="104" s="1"/>
        <i x="211" s="1"/>
        <i x="156" s="1"/>
        <i x="62" s="1"/>
        <i x="87" s="1"/>
        <i x="131" s="1"/>
        <i x="149" s="1"/>
        <i x="250" s="1"/>
        <i x="303" s="1"/>
        <i x="253" s="1"/>
        <i x="236" s="1"/>
        <i x="69" s="1"/>
        <i x="10" s="1"/>
        <i x="287" s="1"/>
        <i x="224" s="1"/>
        <i x="58" s="1"/>
        <i x="67" s="1"/>
        <i x="15" s="1"/>
        <i x="251" s="1"/>
        <i x="20" s="1"/>
        <i x="130" s="1"/>
        <i x="167" s="1"/>
        <i x="49" s="1"/>
        <i x="100" s="1"/>
        <i x="141" s="1"/>
        <i x="132" s="1"/>
        <i x="68" s="1"/>
        <i x="200" s="1"/>
        <i x="136" s="1"/>
        <i x="252" s="1"/>
        <i x="293" s="1"/>
        <i x="192" s="1"/>
        <i x="56" s="1"/>
        <i x="269" s="1"/>
        <i x="21" s="1"/>
        <i x="161" s="1"/>
        <i x="196" s="1"/>
        <i x="96" s="1"/>
        <i x="195" s="1"/>
        <i x="148" s="1"/>
        <i x="123" s="1"/>
        <i x="266" s="1"/>
        <i x="292" s="1"/>
        <i x="57" s="1"/>
        <i x="53" s="1"/>
        <i x="42" s="1"/>
        <i x="143" s="1"/>
        <i x="241" s="1"/>
        <i x="209" s="1"/>
        <i x="137" s="1"/>
        <i x="235" s="1"/>
        <i x="294" s="1"/>
        <i x="289" s="1"/>
        <i x="249" s="1"/>
        <i x="83" s="1"/>
        <i x="255" s="1"/>
        <i x="304"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2" xr10:uid="{77A40361-533E-3840-89D7-586C77CD1171}" sourceName="Segment">
  <pivotTables>
    <pivotTable tabId="2" name="PivotTable3"/>
  </pivotTables>
  <data>
    <tabular pivotCacheId="283523360">
      <items count="5">
        <i x="2" s="1"/>
        <i x="3" s="1"/>
        <i x="0" s="1"/>
        <i x="1" s="1"/>
        <i x="4"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ss_Sales" xr10:uid="{8BCEEB71-8483-BC4B-809B-6C5026092742}" sourceName="Gross Sales">
  <pivotTables>
    <pivotTable tabId="2" name="PivotTable3"/>
  </pivotTables>
  <data>
    <tabular pivotCacheId="283523360">
      <items count="313">
        <i x="117" s="1"/>
        <i x="91" s="1"/>
        <i x="146" s="1"/>
        <i x="147" s="1"/>
        <i x="129" s="1"/>
        <i x="89" s="1"/>
        <i x="136" s="1"/>
        <i x="148" s="1"/>
        <i x="293" s="1"/>
        <i x="116" s="1"/>
        <i x="128" s="1"/>
        <i x="231" s="1"/>
        <i x="221" s="1"/>
        <i x="95" s="1"/>
        <i x="113" s="1"/>
        <i x="104" s="1"/>
        <i x="307" s="1"/>
        <i x="219" s="1"/>
        <i x="85" s="1"/>
        <i x="232" s="1"/>
        <i x="120" s="1"/>
        <i x="174" s="1"/>
        <i x="51" s="1"/>
        <i x="263" s="1"/>
        <i x="154" s="1"/>
        <i x="72" s="1"/>
        <i x="75" s="1"/>
        <i x="244" s="1"/>
        <i x="305" s="1"/>
        <i x="127" s="1"/>
        <i x="243" s="1"/>
        <i x="3" s="1"/>
        <i x="76" s="1"/>
        <i x="275" s="1"/>
        <i x="79" s="1"/>
        <i x="201" s="1"/>
        <i x="306" s="1"/>
        <i x="103" s="1"/>
        <i x="217" s="1"/>
        <i x="84" s="1"/>
        <i x="111" s="1"/>
        <i x="260" s="1"/>
        <i x="214" s="1"/>
        <i x="278" s="1"/>
        <i x="235" s="1"/>
        <i x="119" s="1"/>
        <i x="112" s="1"/>
        <i x="80" s="1"/>
        <i x="98" s="1"/>
        <i x="282" s="1"/>
        <i x="177" s="1"/>
        <i x="198" s="1"/>
        <i x="144" s="1"/>
        <i x="207" s="1"/>
        <i x="44" s="1"/>
        <i x="118" s="1"/>
        <i x="64" s="1"/>
        <i x="141" s="1"/>
        <i x="171" s="1"/>
        <i x="162" s="1"/>
        <i x="86" s="1"/>
        <i x="110" s="1"/>
        <i x="153" s="1"/>
        <i x="99" s="1"/>
        <i x="238" s="1"/>
        <i x="108" s="1"/>
        <i x="250" s="1"/>
        <i x="262" s="1"/>
        <i x="191" s="1"/>
        <i x="142" s="1"/>
        <i x="253" s="1"/>
        <i x="234" s="1"/>
        <i x="189" s="1"/>
        <i x="140" s="1"/>
        <i x="81" s="1"/>
        <i x="109" s="1"/>
        <i x="223" s="1"/>
        <i x="216" s="1"/>
        <i x="7" s="1"/>
        <i x="181" s="1"/>
        <i x="284" s="1"/>
        <i x="277" s="1"/>
        <i x="133" s="1"/>
        <i x="114" s="1"/>
        <i x="121" s="1"/>
        <i x="287" s="1"/>
        <i x="126" s="1"/>
        <i x="35" s="1"/>
        <i x="102" s="1"/>
        <i x="82" s="1"/>
        <i x="236" s="1"/>
        <i x="245" s="1"/>
        <i x="149" s="1"/>
        <i x="150" s="1"/>
        <i x="73" s="1"/>
        <i x="264" s="1"/>
        <i x="33" s="1"/>
        <i x="96" s="1"/>
        <i x="135" s="1"/>
        <i x="178" s="1"/>
        <i x="88" s="1"/>
        <i x="39" s="1"/>
        <i x="179" s="1"/>
        <i x="46" s="1"/>
        <i x="156" s="1"/>
        <i x="195" s="1"/>
        <i x="193" s="1"/>
        <i x="123" s="1"/>
        <i x="176" s="1"/>
        <i x="94" s="1"/>
        <i x="158" s="1"/>
        <i x="93" s="1"/>
        <i x="38" s="1"/>
        <i x="242" s="1"/>
        <i x="226" s="1"/>
        <i x="281" s="1"/>
        <i x="90" s="1"/>
        <i x="12" s="1"/>
        <i x="115" s="1"/>
        <i x="107" s="1"/>
        <i x="92" s="1"/>
        <i x="78" s="1"/>
        <i x="175" s="1"/>
        <i x="106" s="1"/>
        <i x="130" s="1"/>
        <i x="125" s="1"/>
        <i x="291" s="1"/>
        <i x="100" s="1"/>
        <i x="218" s="1"/>
        <i x="11" s="1"/>
        <i x="267" s="1"/>
        <i x="122" s="1"/>
        <i x="137" s="1"/>
        <i x="206" s="1"/>
        <i x="77" s="1"/>
        <i x="168" s="1"/>
        <i x="105" s="1"/>
        <i x="188" s="1"/>
        <i x="279" s="1"/>
        <i x="87" s="1"/>
        <i x="132" s="1"/>
        <i x="152" s="1"/>
        <i x="60" s="1"/>
        <i x="225" s="1"/>
        <i x="160" s="1"/>
        <i x="131" s="1"/>
        <i x="9" s="1"/>
        <i x="101" s="1"/>
        <i x="143" s="1"/>
        <i x="210" s="1"/>
        <i x="134" s="1"/>
        <i x="227" s="1"/>
        <i x="138" s="1"/>
        <i x="47" s="1"/>
        <i x="97" s="1"/>
        <i x="29" s="1"/>
        <i x="151" s="1"/>
        <i x="124" s="1"/>
        <i x="23" s="1"/>
        <i x="48" s="1"/>
        <i x="251" s="1"/>
        <i x="211" s="1"/>
        <i x="145" s="1"/>
        <i x="14" s="1"/>
        <i x="266" s="1"/>
        <i x="302" s="1"/>
        <i x="289" s="1"/>
        <i x="280" s="1"/>
        <i x="167" s="1"/>
        <i x="26" s="1"/>
        <i x="36" s="1"/>
        <i x="194" s="1"/>
        <i x="54" s="1"/>
        <i x="27" s="1"/>
        <i x="208" s="1"/>
        <i x="269" s="1"/>
        <i x="190" s="1"/>
        <i x="182" s="1"/>
        <i x="205" s="1"/>
        <i x="183" s="1"/>
        <i x="74" s="1"/>
        <i x="247" s="1"/>
        <i x="180" s="1"/>
        <i x="248" s="1"/>
        <i x="165" s="1"/>
        <i x="222" s="1"/>
        <i x="265" s="1"/>
        <i x="228" s="1"/>
        <i x="173" s="1"/>
        <i x="139" s="1"/>
        <i x="268" s="1"/>
        <i x="310" s="1"/>
        <i x="230" s="1"/>
        <i x="61" s="1"/>
        <i x="8" s="1"/>
        <i x="66" s="1"/>
        <i x="24" s="1"/>
        <i x="254" s="1"/>
        <i x="37" s="1"/>
        <i x="166" s="1"/>
        <i x="163" s="1"/>
        <i x="17" s="1"/>
        <i x="272" s="1"/>
        <i x="1" s="1"/>
        <i x="308" s="1"/>
        <i x="212" s="1"/>
        <i x="309" s="1"/>
        <i x="224" s="1"/>
        <i x="40" s="1"/>
        <i x="5" s="1"/>
        <i x="202" s="1"/>
        <i x="83" s="1"/>
        <i x="18" s="1"/>
        <i x="220" s="1"/>
        <i x="274" s="1"/>
        <i x="209" s="1"/>
        <i x="197" s="1"/>
        <i x="34" s="1"/>
        <i x="290" s="1"/>
        <i x="303" s="1"/>
        <i x="192" s="1"/>
        <i x="184" s="1"/>
        <i x="187" s="1"/>
        <i x="271" s="1"/>
        <i x="185" s="1"/>
        <i x="304" s="1"/>
        <i x="159" s="1"/>
        <i x="43" s="1"/>
        <i x="203" s="1"/>
        <i x="186" s="1"/>
        <i x="63" s="1"/>
        <i x="32" s="1"/>
        <i x="241" s="1"/>
        <i x="233" s="1"/>
        <i x="16" s="1"/>
        <i x="6" s="1"/>
        <i x="298" s="1"/>
        <i x="22" s="1"/>
        <i x="295" s="1"/>
        <i x="257" s="1"/>
        <i x="170" s="1"/>
        <i x="285" s="1"/>
        <i x="249" s="1"/>
        <i x="0" s="1"/>
        <i x="239" s="1"/>
        <i x="155" s="1"/>
        <i x="204" s="1"/>
        <i x="297" s="1"/>
        <i x="258" s="1"/>
        <i x="300" s="1"/>
        <i x="172" s="1"/>
        <i x="45" s="1"/>
        <i x="292" s="1"/>
        <i x="164" s="1"/>
        <i x="59" s="1"/>
        <i x="286" s="1"/>
        <i x="270" s="1"/>
        <i x="70" s="1"/>
        <i x="273" s="1"/>
        <i x="28" s="1"/>
        <i x="288" s="1"/>
        <i x="19" s="1"/>
        <i x="4" s="1"/>
        <i x="30" s="1"/>
        <i x="157" s="1"/>
        <i x="283" s="1"/>
        <i x="215" s="1"/>
        <i x="2" s="1"/>
        <i x="256" s="1"/>
        <i x="311" s="1"/>
        <i x="259" s="1"/>
        <i x="41" s="1"/>
        <i x="213" s="1"/>
        <i x="50" s="1"/>
        <i x="294" s="1"/>
        <i x="229" s="1"/>
        <i x="31" s="1"/>
        <i x="252" s="1"/>
        <i x="52" s="1"/>
        <i x="169" s="1"/>
        <i x="13" s="1"/>
        <i x="196" s="1"/>
        <i x="240" s="1"/>
        <i x="276" s="1"/>
        <i x="237" s="1"/>
        <i x="200" s="1"/>
        <i x="199" s="1"/>
        <i x="161" s="1"/>
        <i x="299" s="1"/>
        <i x="65" s="1"/>
        <i x="25" s="1"/>
        <i x="55" s="1"/>
        <i x="246" s="1"/>
        <i x="71" s="1"/>
        <i x="62" s="1"/>
        <i x="69" s="1"/>
        <i x="10" s="1"/>
        <i x="58" s="1"/>
        <i x="67" s="1"/>
        <i x="15" s="1"/>
        <i x="20" s="1"/>
        <i x="49" s="1"/>
        <i x="68" s="1"/>
        <i x="301" s="1"/>
        <i x="56" s="1"/>
        <i x="21" s="1"/>
        <i x="296" s="1"/>
        <i x="255" s="1"/>
        <i x="57" s="1"/>
        <i x="53" s="1"/>
        <i x="42" s="1"/>
        <i x="261" s="1"/>
        <i x="312"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s" xr10:uid="{DF73F7CA-72F4-B54F-A204-F7C84E8A41AC}" sourceName="Discounts">
  <pivotTables>
    <pivotTable tabId="2" name="PivotTable3"/>
  </pivotTables>
  <data>
    <tabular pivotCacheId="283523360">
      <items count="291">
        <i x="0" s="1"/>
        <i x="82" s="1"/>
        <i x="80" s="1"/>
        <i x="76" s="1"/>
        <i x="154" s="1"/>
        <i x="75" s="1"/>
        <i x="151" s="1"/>
        <i x="77" s="1"/>
        <i x="99" s="1"/>
        <i x="263" s="1"/>
        <i x="86" s="1"/>
        <i x="79" s="1"/>
        <i x="269" s="1"/>
        <i x="109" s="1"/>
        <i x="81" s="1"/>
        <i x="157" s="1"/>
        <i x="148" s="1"/>
        <i x="78" s="1"/>
        <i x="95" s="1"/>
        <i x="3" s="1"/>
        <i x="147" s="1"/>
        <i x="121" s="1"/>
        <i x="262" s="1"/>
        <i x="153" s="1"/>
        <i x="158" s="1"/>
        <i x="159" s="1"/>
        <i x="105" s="1"/>
        <i x="108" s="1"/>
        <i x="156" s="1"/>
        <i x="138" s="1"/>
        <i x="1" s="1"/>
        <i x="74" s="1"/>
        <i x="84" s="1"/>
        <i x="139" s="1"/>
        <i x="128" s="1"/>
        <i x="83" s="1"/>
        <i x="155" s="1"/>
        <i x="150" s="1"/>
        <i x="161" s="1"/>
        <i x="120" s="1"/>
        <i x="212" s="1"/>
        <i x="202" s="1"/>
        <i x="152" s="1"/>
        <i x="261" s="1"/>
        <i x="94" s="1"/>
        <i x="87" s="1"/>
        <i x="5" s="1"/>
        <i x="112" s="1"/>
        <i x="140" s="1"/>
        <i x="200" s="1"/>
        <i x="171" s="1"/>
        <i x="181" s="1"/>
        <i x="89" s="1"/>
        <i x="85" s="1"/>
        <i x="149" s="1"/>
        <i x="169" s="1"/>
        <i x="178" s="1"/>
        <i x="265" s="1"/>
        <i x="213" s="1"/>
        <i x="90" s="1"/>
        <i x="47" s="1"/>
        <i x="267" s="1"/>
        <i x="4" s="1"/>
        <i x="7" s="1"/>
        <i x="103" s="1"/>
        <i x="119" s="1"/>
        <i x="104" s="1"/>
        <i x="102" s="1"/>
        <i x="198" s="1"/>
        <i x="266" s="1"/>
        <i x="284" s="1"/>
        <i x="195" s="1"/>
        <i x="8" s="1"/>
        <i x="93" s="1"/>
        <i x="100" s="1"/>
        <i x="187" s="1"/>
        <i x="111" s="1"/>
        <i x="225" s="1"/>
        <i x="2" s="1"/>
        <i x="101" s="1"/>
        <i x="224" s="1"/>
        <i x="243" s="1"/>
        <i x="175" s="1"/>
        <i x="173" s="1"/>
        <i x="282" s="1"/>
        <i x="162" s="1"/>
        <i x="163" s="1"/>
        <i x="40" s="1"/>
        <i x="160" s="1"/>
        <i x="168" s="1"/>
        <i x="110" s="1"/>
        <i x="264" s="1"/>
        <i x="68" s="1"/>
        <i x="98" s="1"/>
        <i x="146" s="1"/>
        <i x="216" s="1"/>
        <i x="106" s="1"/>
        <i x="88" s="1"/>
        <i x="71" s="1"/>
        <i x="97" s="1"/>
        <i x="91" s="1"/>
        <i x="31" s="1"/>
        <i x="10" s="1"/>
        <i x="29" s="1"/>
        <i x="197" s="1"/>
        <i x="96" s="1"/>
        <i x="164" s="1"/>
        <i x="72" s="1"/>
        <i x="283" s="1"/>
        <i x="165" s="1"/>
        <i x="113" s="1"/>
        <i x="255" s="1"/>
        <i x="170" s="1"/>
        <i x="92" s="1"/>
        <i x="240" s="1"/>
        <i x="204" s="1"/>
        <i x="219" s="1"/>
        <i x="118" s="1"/>
        <i x="215" s="1"/>
        <i x="35" s="1"/>
        <i x="19" s="1"/>
        <i x="186" s="1"/>
        <i x="107" s="1"/>
        <i x="231" s="1"/>
        <i x="136" s="1"/>
        <i x="115" s="1"/>
        <i x="258" s="1"/>
        <i x="174" s="1"/>
        <i x="34" s="1"/>
        <i x="60" s="1"/>
        <i x="167" s="1"/>
        <i x="133" s="1"/>
        <i x="217" s="1"/>
        <i x="42" s="1"/>
        <i x="25" s="1"/>
        <i x="125" s="1"/>
        <i x="166" s="1"/>
        <i x="132" s="1"/>
        <i x="20" s="1"/>
        <i x="242" s="1"/>
        <i x="13" s="1"/>
        <i x="134" s="1"/>
        <i x="117" s="1"/>
        <i x="207" s="1"/>
        <i x="199" s="1"/>
        <i x="191" s="1"/>
        <i x="226" s="1"/>
        <i x="22" s="1"/>
        <i x="23" s="1"/>
        <i x="114" s="1"/>
        <i x="268" s="1"/>
        <i x="185" s="1"/>
        <i x="14" s="1"/>
        <i x="127" s="1"/>
        <i x="177" s="1"/>
        <i x="145" s="1"/>
        <i x="172" s="1"/>
        <i x="192" s="1"/>
        <i x="6" s="1"/>
        <i x="12" s="1"/>
        <i x="32" s="1"/>
        <i x="274" s="1"/>
        <i x="18" s="1"/>
        <i x="244" s="1"/>
        <i x="223" s="1"/>
        <i x="188" s="1"/>
        <i x="271" s="1"/>
        <i x="116" s="1"/>
        <i x="122" s="1"/>
        <i x="257" s="1"/>
        <i x="182" s="1"/>
        <i x="206" s="1"/>
        <i x="9" s="1"/>
        <i x="141" s="1"/>
        <i x="142" s="1"/>
        <i x="69" s="1"/>
        <i x="208" s="1"/>
        <i x="43" s="1"/>
        <i x="15" s="1"/>
        <i x="183" s="1"/>
        <i x="193" s="1"/>
        <i x="123" s="1"/>
        <i x="44" s="1"/>
        <i x="279" s="1"/>
        <i x="124" s="1"/>
        <i x="184" s="1"/>
        <i x="270" s="1"/>
        <i x="189" s="1"/>
        <i x="190" s="1"/>
        <i x="273" s="1"/>
        <i x="30" s="1"/>
        <i x="129" s="1"/>
        <i x="33" s="1"/>
        <i x="126" s="1"/>
        <i x="176" s="1"/>
        <i x="24" s="1"/>
        <i x="203" s="1"/>
        <i x="11" s="1"/>
        <i x="209" s="1"/>
        <i x="179" s="1"/>
        <i x="28" s="1"/>
        <i x="56" s="1"/>
        <i x="36" s="1"/>
        <i x="211" s="1"/>
        <i x="275" s="1"/>
        <i x="232" s="1"/>
        <i x="130" s="1"/>
        <i x="21" s="1"/>
        <i x="277" s="1"/>
        <i x="247" s="1"/>
        <i x="205" s="1"/>
        <i x="39" s="1"/>
        <i x="135" s="1"/>
        <i x="50" s="1"/>
        <i x="201" s="1"/>
        <i x="228" s="1"/>
        <i x="180" s="1"/>
        <i x="26" s="1"/>
        <i x="229" s="1"/>
        <i x="73" s="1"/>
        <i x="259" s="1"/>
        <i x="144" s="1"/>
        <i x="16" s="1"/>
        <i x="194" s="1"/>
        <i x="246" s="1"/>
        <i x="27" s="1"/>
        <i x="17" s="1"/>
        <i x="143" s="1"/>
        <i x="131" s="1"/>
        <i x="137" s="1"/>
        <i x="57" s="1"/>
        <i x="196" s="1"/>
        <i x="234" s="1"/>
        <i x="41" s="1"/>
        <i x="245" s="1"/>
        <i x="276" s="1"/>
        <i x="222" s="1"/>
        <i x="37" s="1"/>
        <i x="214" s="1"/>
        <i x="249" s="1"/>
        <i x="280" s="1"/>
        <i x="62" s="1"/>
        <i x="220" s="1"/>
        <i x="260" s="1"/>
        <i x="281" s="1"/>
        <i x="248" s="1"/>
        <i x="272" s="1"/>
        <i x="70" s="1"/>
        <i x="210" s="1"/>
        <i x="230" s="1"/>
        <i x="288" s="1"/>
        <i x="252" s="1"/>
        <i x="59" s="1"/>
        <i x="285" s="1"/>
        <i x="287" s="1"/>
        <i x="237" s="1"/>
        <i x="46" s="1"/>
        <i x="254" s="1"/>
        <i x="238" s="1"/>
        <i x="48" s="1"/>
        <i x="55" s="1"/>
        <i x="251" s="1"/>
        <i x="221" s="1"/>
        <i x="218" s="1"/>
        <i x="236" s="1"/>
        <i x="38" s="1"/>
        <i x="45" s="1"/>
        <i x="250" s="1"/>
        <i x="233" s="1"/>
        <i x="66" s="1"/>
        <i x="253" s="1"/>
        <i x="278" s="1"/>
        <i x="239" s="1"/>
        <i x="286" s="1"/>
        <i x="51" s="1"/>
        <i x="227" s="1"/>
        <i x="289" s="1"/>
        <i x="54" s="1"/>
        <i x="61" s="1"/>
        <i x="58" s="1"/>
        <i x="52" s="1"/>
        <i x="256" s="1"/>
        <i x="53" s="1"/>
        <i x="49" s="1"/>
        <i x="67" s="1"/>
        <i x="63" s="1"/>
        <i x="235" s="1"/>
        <i x="64" s="1"/>
        <i x="65" s="1"/>
        <i x="241" s="1"/>
        <i x="290"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94064311-FDBB-D34C-B266-9CDDB729868C}" sourceName=" Sales">
  <pivotTables>
    <pivotTable tabId="2" name="PivotTable3"/>
  </pivotTables>
  <data>
    <tabular pivotCacheId="283523360">
      <items count="318">
        <i x="118" s="1"/>
        <i x="147" s="1"/>
        <i x="108" s="1"/>
        <i x="148" s="1"/>
        <i x="91" s="1"/>
        <i x="130" s="1"/>
        <i x="149" s="1"/>
        <i x="137" s="1"/>
        <i x="89" s="1"/>
        <i x="296" s="1"/>
        <i x="117" s="1"/>
        <i x="129" s="1"/>
        <i x="233" s="1"/>
        <i x="223" s="1"/>
        <i x="114" s="1"/>
        <i x="311" s="1"/>
        <i x="95" s="1"/>
        <i x="104" s="1"/>
        <i x="221" s="1"/>
        <i x="234" s="1"/>
        <i x="265" s="1"/>
        <i x="155" s="1"/>
        <i x="51" s="1"/>
        <i x="121" s="1"/>
        <i x="283" s="1"/>
        <i x="85" s="1"/>
        <i x="72" s="1"/>
        <i x="75" s="1"/>
        <i x="175" s="1"/>
        <i x="76" s="1"/>
        <i x="309" s="1"/>
        <i x="246" s="1"/>
        <i x="276" s="1"/>
        <i x="245" s="1"/>
        <i x="128" s="1"/>
        <i x="3" s="1"/>
        <i x="310" s="1"/>
        <i x="79" s="1"/>
        <i x="279" s="1"/>
        <i x="262" s="1"/>
        <i x="202" s="1"/>
        <i x="219" s="1"/>
        <i x="112" s="1"/>
        <i x="103" s="1"/>
        <i x="216" s="1"/>
        <i x="237" s="1"/>
        <i x="120" s="1"/>
        <i x="84" s="1"/>
        <i x="145" s="1"/>
        <i x="113" s="1"/>
        <i x="64" s="1"/>
        <i x="98" s="1"/>
        <i x="142" s="1"/>
        <i x="199" s="1"/>
        <i x="80" s="1"/>
        <i x="44" s="1"/>
        <i x="119" s="1"/>
        <i x="208" s="1"/>
        <i x="178" s="1"/>
        <i x="154" s="1"/>
        <i x="284" s="1"/>
        <i x="264" s="1"/>
        <i x="240" s="1"/>
        <i x="252" s="1"/>
        <i x="143" s="1"/>
        <i x="111" s="1"/>
        <i x="255" s="1"/>
        <i x="172" s="1"/>
        <i x="99" s="1"/>
        <i x="141" s="1"/>
        <i x="86" s="1"/>
        <i x="236" s="1"/>
        <i x="163" s="1"/>
        <i x="109" s="1"/>
        <i x="278" s="1"/>
        <i x="225" s="1"/>
        <i x="192" s="1"/>
        <i x="218" s="1"/>
        <i x="134" s="1"/>
        <i x="110" s="1"/>
        <i x="190" s="1"/>
        <i x="127" s="1"/>
        <i x="122" s="1"/>
        <i x="115" s="1"/>
        <i x="150" s="1"/>
        <i x="151" s="1"/>
        <i x="73" s="1"/>
        <i x="81" s="1"/>
        <i x="182" s="1"/>
        <i x="266" s="1"/>
        <i x="7" s="1"/>
        <i x="238" s="1"/>
        <i x="247" s="1"/>
        <i x="35" s="1"/>
        <i x="286" s="1"/>
        <i x="290" s="1"/>
        <i x="102" s="1"/>
        <i x="136" s="1"/>
        <i x="33" s="1"/>
        <i x="82" s="1"/>
        <i x="39" s="1"/>
        <i x="96" s="1"/>
        <i x="46" s="1"/>
        <i x="179" s="1"/>
        <i x="124" s="1"/>
        <i x="88" s="1"/>
        <i x="196" s="1"/>
        <i x="180" s="1"/>
        <i x="244" s="1"/>
        <i x="194" s="1"/>
        <i x="38" s="1"/>
        <i x="228" s="1"/>
        <i x="94" s="1"/>
        <i x="157" s="1"/>
        <i x="177" s="1"/>
        <i x="93" s="1"/>
        <i x="159" s="1"/>
        <i x="116" s="1"/>
        <i x="12" s="1"/>
        <i x="107" s="1"/>
        <i x="269" s="1"/>
        <i x="90" s="1"/>
        <i x="282" s="1"/>
        <i x="131" s="1"/>
        <i x="77" s="1"/>
        <i x="92" s="1"/>
        <i x="138" s="1"/>
        <i x="280" s="1"/>
        <i x="78" s="1"/>
        <i x="126" s="1"/>
        <i x="153" s="1"/>
        <i x="220" s="1"/>
        <i x="176" s="1"/>
        <i x="106" s="1"/>
        <i x="123" s="1"/>
        <i x="100" s="1"/>
        <i x="133" s="1"/>
        <i x="60" s="1"/>
        <i x="294" s="1"/>
        <i x="11" s="1"/>
        <i x="207" s="1"/>
        <i x="144" s="1"/>
        <i x="105" s="1"/>
        <i x="227" s="1"/>
        <i x="132" s="1"/>
        <i x="139" s="1"/>
        <i x="135" s="1"/>
        <i x="189" s="1"/>
        <i x="169" s="1"/>
        <i x="229" s="1"/>
        <i x="152" s="1"/>
        <i x="87" s="1"/>
        <i x="212" s="1"/>
        <i x="47" s="1"/>
        <i x="101" s="1"/>
        <i x="146" s="1"/>
        <i x="281" s="1"/>
        <i x="9" s="1"/>
        <i x="268" s="1"/>
        <i x="253" s="1"/>
        <i x="161" s="1"/>
        <i x="125" s="1"/>
        <i x="29" s="1"/>
        <i x="48" s="1"/>
        <i x="97" s="1"/>
        <i x="306" s="1"/>
        <i x="213" s="1"/>
        <i x="270" s="1"/>
        <i x="23" s="1"/>
        <i x="74" s="1"/>
        <i x="54" s="1"/>
        <i x="14" s="1"/>
        <i x="267" s="1"/>
        <i x="315" s="1"/>
        <i x="249" s="1"/>
        <i x="36" s="1"/>
        <i x="250" s="1"/>
        <i x="292" s="1"/>
        <i x="26" s="1"/>
        <i x="209" s="1"/>
        <i x="140" s="1"/>
        <i x="27" s="1"/>
        <i x="195" s="1"/>
        <i x="224" s="1"/>
        <i x="230" s="1"/>
        <i x="206" s="1"/>
        <i x="61" s="1"/>
        <i x="66" s="1"/>
        <i x="191" s="1"/>
        <i x="168" s="1"/>
        <i x="183" s="1"/>
        <i x="232" s="1"/>
        <i x="256" s="1"/>
        <i x="184" s="1"/>
        <i x="289" s="1"/>
        <i x="273" s="1"/>
        <i x="181" s="1"/>
        <i x="312" s="1"/>
        <i x="314" s="1"/>
        <i x="166" s="1"/>
        <i x="37" s="1"/>
        <i x="174" s="1"/>
        <i x="24" s="1"/>
        <i x="275" s="1"/>
        <i x="8" s="1"/>
        <i x="226" s="1"/>
        <i x="301" s="1"/>
        <i x="214" s="1"/>
        <i x="17" s="1"/>
        <i x="40" s="1"/>
        <i x="222" s="1"/>
        <i x="272" s="1"/>
        <i x="167" s="1"/>
        <i x="307" s="1"/>
        <i x="164" s="1"/>
        <i x="203" s="1"/>
        <i x="210" s="1"/>
        <i x="211" s="1"/>
        <i x="18" s="1"/>
        <i x="1" s="1"/>
        <i x="34" s="1"/>
        <i x="308" s="1"/>
        <i x="198" s="1"/>
        <i x="63" s="1"/>
        <i x="5" s="1"/>
        <i x="83" s="1"/>
        <i x="193" s="1"/>
        <i x="243" s="1"/>
        <i x="43" s="1"/>
        <i x="235" s="1"/>
        <i x="259" s="1"/>
        <i x="293" s="1"/>
        <i x="185" s="1"/>
        <i x="188" s="1"/>
        <i x="32" s="1"/>
        <i x="204" s="1"/>
        <i x="251" s="1"/>
        <i x="186" s="1"/>
        <i x="260" s="1"/>
        <i x="187" s="1"/>
        <i x="241" s="1"/>
        <i x="302" s="1"/>
        <i x="271" s="1"/>
        <i x="16" s="1"/>
        <i x="70" s="1"/>
        <i x="22" s="1"/>
        <i x="274" s="1"/>
        <i x="298" s="1"/>
        <i x="59" s="1"/>
        <i x="160" s="1"/>
        <i x="6" s="1"/>
        <i x="205" s="1"/>
        <i x="45" s="1"/>
        <i x="304" s="1"/>
        <i x="300" s="1"/>
        <i x="171" s="1"/>
        <i x="313" s="1"/>
        <i x="287" s="1"/>
        <i x="0" s="1"/>
        <i x="295" s="1"/>
        <i x="316" s="1"/>
        <i x="156" s="1"/>
        <i x="173" s="1"/>
        <i x="28" s="1"/>
        <i x="261" s="1"/>
        <i x="258" s="1"/>
        <i x="165" s="1"/>
        <i x="288" s="1"/>
        <i x="30" s="1"/>
        <i x="19" s="1"/>
        <i x="217" s="1"/>
        <i x="291" s="1"/>
        <i x="50" s="1"/>
        <i x="254" s="1"/>
        <i x="41" s="1"/>
        <i x="231" s="1"/>
        <i x="277" s="1"/>
        <i x="215" s="1"/>
        <i x="4" s="1"/>
        <i x="52" s="1"/>
        <i x="31" s="1"/>
        <i x="158" s="1"/>
        <i x="285" s="1"/>
        <i x="297" s="1"/>
        <i x="2" s="1"/>
        <i x="242" s="1"/>
        <i x="239" s="1"/>
        <i x="65" s="1"/>
        <i x="197" s="1"/>
        <i x="13" s="1"/>
        <i x="201" s="1"/>
        <i x="200" s="1"/>
        <i x="170" s="1"/>
        <i x="303" s="1"/>
        <i x="71" s="1"/>
        <i x="55" s="1"/>
        <i x="248" s="1"/>
        <i x="162" s="1"/>
        <i x="25" s="1"/>
        <i x="69" s="1"/>
        <i x="62" s="1"/>
        <i x="67" s="1"/>
        <i x="58" s="1"/>
        <i x="68" s="1"/>
        <i x="49" s="1"/>
        <i x="56" s="1"/>
        <i x="10" s="1"/>
        <i x="305" s="1"/>
        <i x="20" s="1"/>
        <i x="15" s="1"/>
        <i x="257" s="1"/>
        <i x="263" s="1"/>
        <i x="57" s="1"/>
        <i x="53" s="1"/>
        <i x="299" s="1"/>
        <i x="21" s="1"/>
        <i x="42" s="1"/>
        <i x="317" s="1"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GS" xr10:uid="{E27482C4-E3A4-D147-A940-BE5B23E725D3}" sourceName="COGS">
  <pivotTables>
    <pivotTable tabId="2" name="PivotTable4"/>
  </pivotTables>
  <data>
    <tabular pivotCacheId="283523360">
      <items count="309">
        <i x="228" s="1"/>
        <i x="216" s="1"/>
        <i x="229" s="1"/>
        <i x="260" s="1"/>
        <i x="116" s="1"/>
        <i x="90" s="1"/>
        <i x="144" s="1"/>
        <i x="241" s="1"/>
        <i x="145" s="1"/>
        <i x="271" s="1"/>
        <i x="198" s="1"/>
        <i x="302" s="1"/>
        <i x="214" s="1"/>
        <i x="127" s="1"/>
        <i x="88" s="1"/>
        <i x="257" s="1"/>
        <i x="134" s="1"/>
        <i x="146" s="1"/>
        <i x="174" s="1"/>
        <i x="289" s="1"/>
        <i x="204" s="1"/>
        <i x="168" s="1"/>
        <i x="51" s="1"/>
        <i x="115" s="1"/>
        <i x="218" s="1"/>
        <i x="186" s="1"/>
        <i x="72" s="1"/>
        <i x="126" s="1"/>
        <i x="220" s="1"/>
        <i x="75" s="1"/>
        <i x="94" s="1"/>
        <i x="178" s="1"/>
        <i x="112" s="1"/>
        <i x="280" s="1"/>
        <i x="273" s="1"/>
        <i x="303" s="1"/>
        <i x="103" s="1"/>
        <i x="3" s="1"/>
        <i x="76" s="1"/>
        <i x="242" s="1"/>
        <i x="261" s="1"/>
        <i x="175" s="1"/>
        <i x="85" s="1"/>
        <i x="171" s="1"/>
        <i x="176" s="1"/>
        <i x="192" s="1"/>
        <i x="190" s="1"/>
        <i x="119" s="1"/>
        <i x="173" s="1"/>
        <i x="239" s="1"/>
        <i x="151" s="1"/>
        <i x="301" s="1"/>
        <i x="240" s="1"/>
        <i x="172" s="1"/>
        <i x="125" s="1"/>
        <i x="287" s="1"/>
        <i x="215" s="1"/>
        <i x="264" s="1"/>
        <i x="165" s="1"/>
        <i x="44" s="1"/>
        <i x="185" s="1"/>
        <i x="79" s="1"/>
        <i x="64" s="1"/>
        <i x="157" s="1"/>
        <i x="224" s="1"/>
        <i x="211" s="1"/>
        <i x="274" s="1"/>
        <i x="102" s="1"/>
        <i x="232" s="1"/>
        <i x="84" s="1"/>
        <i x="110" s="1"/>
        <i x="248" s="1"/>
        <i x="208" s="1"/>
        <i x="263" s="1"/>
        <i x="298" s="1"/>
        <i x="285" s="1"/>
        <i x="276" s="1"/>
        <i x="7" s="1"/>
        <i x="118" s="1"/>
        <i x="278" s="1"/>
        <i x="195" s="1"/>
        <i x="164" s="1"/>
        <i x="191" s="1"/>
        <i x="205" s="1"/>
        <i x="111" s="1"/>
        <i x="179" s="1"/>
        <i x="80" s="1"/>
        <i x="180" s="1"/>
        <i x="97" s="1"/>
        <i x="244" s="1"/>
        <i x="177" s="1"/>
        <i x="162" s="1"/>
        <i x="219" s="1"/>
        <i x="35" s="1"/>
        <i x="225" s="1"/>
        <i x="142" s="1"/>
        <i x="170" s="1"/>
        <i x="265" s="1"/>
        <i x="73" s="1"/>
        <i x="33" s="1"/>
        <i x="159" s="1"/>
        <i x="117" s="1"/>
        <i x="251" s="1"/>
        <i x="235" s="1"/>
        <i x="163" s="1"/>
        <i x="39" s="1"/>
        <i x="160" s="1"/>
        <i x="139" s="1"/>
        <i x="247" s="1"/>
        <i x="259" s="1"/>
        <i x="46" s="1"/>
        <i x="209" s="1"/>
        <i x="109" s="1"/>
        <i x="305" s="1"/>
        <i x="221" s="1"/>
        <i x="188" s="1"/>
        <i x="250" s="1"/>
        <i x="231" s="1"/>
        <i x="150" s="1"/>
        <i x="98" s="1"/>
        <i x="199" s="1"/>
        <i x="217" s="1"/>
        <i x="107" s="1"/>
        <i x="206" s="1"/>
        <i x="194" s="1"/>
        <i x="38" s="1"/>
        <i x="213" s="1"/>
        <i x="140" s="1"/>
        <i x="299" s="1"/>
        <i x="189" s="1"/>
        <i x="12" s="1"/>
        <i x="268" s="1"/>
        <i x="182" s="1"/>
        <i x="138" s="1"/>
        <i x="81" s="1"/>
        <i x="283" s="1"/>
        <i x="108" s="1"/>
        <i x="156" s="1"/>
        <i x="238" s="1"/>
        <i x="131" s="1"/>
        <i x="233" s="1"/>
        <i x="113" s="1"/>
        <i x="254" s="1"/>
        <i x="120" s="1"/>
        <i x="167" s="1"/>
        <i x="124" s="1"/>
        <i x="201" s="1"/>
        <i x="255" s="1"/>
        <i x="296" s="1"/>
        <i x="11" s="1"/>
        <i x="101" s="1"/>
        <i x="82" s="1"/>
        <i x="161" s="1"/>
        <i x="147" s="1"/>
        <i x="77" s="1"/>
        <i x="269" s="1"/>
        <i x="95" s="1"/>
        <i x="153" s="1"/>
        <i x="133" s="1"/>
        <i x="60" s="1"/>
        <i x="87" s="1"/>
        <i x="155" s="1"/>
        <i x="9" s="1"/>
        <i x="223" s="1"/>
        <i x="47" s="1"/>
        <i x="210" s="1"/>
        <i x="277" s="1"/>
        <i x="93" s="1"/>
        <i x="29" s="1"/>
        <i x="92" s="1"/>
        <i x="23" s="1"/>
        <i x="48" s="1"/>
        <i x="89" s="1"/>
        <i x="14" s="1"/>
        <i x="237" s="1"/>
        <i x="114" s="1"/>
        <i x="106" s="1"/>
        <i x="91" s="1"/>
        <i x="78" s="1"/>
        <i x="26" s="1"/>
        <i x="36" s="1"/>
        <i x="54" s="1"/>
        <i x="27" s="1"/>
        <i x="203" s="1"/>
        <i x="74" s="1"/>
        <i x="105" s="1"/>
        <i x="128" s="1"/>
        <i x="123" s="1"/>
        <i x="99" s="1"/>
        <i x="275" s="1"/>
        <i x="121" s="1"/>
        <i x="135" s="1"/>
        <i x="222" s="1"/>
        <i x="61" s="1"/>
        <i x="8" s="1"/>
        <i x="104" s="1"/>
        <i x="66" s="1"/>
        <i x="207" s="1"/>
        <i x="86" s="1"/>
        <i x="24" s="1"/>
        <i x="130" s="1"/>
        <i x="149" s="1"/>
        <i x="37" s="1"/>
        <i x="17" s="1"/>
        <i x="1" s="1"/>
        <i x="129" s="1"/>
        <i x="100" s="1"/>
        <i x="141" s="1"/>
        <i x="132" s="1"/>
        <i x="40" s="1"/>
        <i x="136" s="1"/>
        <i x="5" s="1"/>
        <i x="18" s="1"/>
        <i x="34" s="1"/>
        <i x="96" s="1"/>
        <i x="148" s="1"/>
        <i x="122" s="1"/>
        <i x="143" s="1"/>
        <i x="266" s="1"/>
        <i x="187" s="1"/>
        <i x="43" s="1"/>
        <i x="202" s="1"/>
        <i x="63" s="1"/>
        <i x="32" s="1"/>
        <i x="245" s="1"/>
        <i x="16" s="1"/>
        <i x="262" s="1"/>
        <i x="6" s="1"/>
        <i x="22" s="1"/>
        <i x="306" s="1"/>
        <i x="0" s="1"/>
        <i x="227" s="1"/>
        <i x="45" s="1"/>
        <i x="137" s="1"/>
        <i x="59" s="1"/>
        <i x="70" s="1"/>
        <i x="28" s="1"/>
        <i x="304" s="1"/>
        <i x="19" s="1"/>
        <i x="4" s="1"/>
        <i x="30" s="1"/>
        <i x="270" s="1"/>
        <i x="2" s="1"/>
        <i x="286" s="1"/>
        <i x="41" s="1"/>
        <i x="181" s="1"/>
        <i x="50" s="1"/>
        <i x="184" s="1"/>
        <i x="83" s="1"/>
        <i x="31" s="1"/>
        <i x="300" s="1"/>
        <i x="200" s="1"/>
        <i x="183" s="1"/>
        <i x="52" s="1"/>
        <i x="230" s="1"/>
        <i x="13" s="1"/>
        <i x="294" s="1"/>
        <i x="291" s="1"/>
        <i x="281" s="1"/>
        <i x="246" s="1"/>
        <i x="236" s="1"/>
        <i x="152" s="1"/>
        <i x="293" s="1"/>
        <i x="169" s="1"/>
        <i x="65" s="1"/>
        <i x="288" s="1"/>
        <i x="282" s="1"/>
        <i x="25" s="1"/>
        <i x="267" s="1"/>
        <i x="284" s="1"/>
        <i x="55" s="1"/>
        <i x="71" s="1"/>
        <i x="154" s="1"/>
        <i x="279" s="1"/>
        <i x="212" s="1"/>
        <i x="62" s="1"/>
        <i x="253" s="1"/>
        <i x="307" s="1"/>
        <i x="256" s="1"/>
        <i x="69" s="1"/>
        <i x="10" s="1"/>
        <i x="290" s="1"/>
        <i x="226" s="1"/>
        <i x="58" s="1"/>
        <i x="67" s="1"/>
        <i x="15" s="1"/>
        <i x="20" s="1"/>
        <i x="49" s="1"/>
        <i x="249" s="1"/>
        <i x="68" s="1"/>
        <i x="193" s="1"/>
        <i x="56" s="1"/>
        <i x="272" s="1"/>
        <i x="21" s="1"/>
        <i x="197" s="1"/>
        <i x="196" s="1"/>
        <i x="295" s="1"/>
        <i x="57" s="1"/>
        <i x="53" s="1"/>
        <i x="42" s="1"/>
        <i x="243" s="1"/>
        <i x="297" s="1"/>
        <i x="292" s="1"/>
        <i x="252" s="1"/>
        <i x="166" s="1"/>
        <i x="258" s="1"/>
        <i x="234" s="1"/>
        <i x="158" s="1"/>
        <i x="308" s="1"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195D9992-48A1-E144-BB7D-DD282A0E2C76}" sourceName="Profit">
  <pivotTables>
    <pivotTable tabId="2" name="PivotTable4"/>
  </pivotTables>
  <data>
    <tabular pivotCacheId="283523360">
      <items count="319">
        <i x="239" s="1"/>
        <i x="147" s="1"/>
        <i x="148" s="1"/>
        <i x="118" s="1"/>
        <i x="149" s="1"/>
        <i x="108" s="1"/>
        <i x="137" s="1"/>
        <i x="130" s="1"/>
        <i x="91" s="1"/>
        <i x="155" s="1"/>
        <i x="89" s="1"/>
        <i x="117" s="1"/>
        <i x="129" s="1"/>
        <i x="312" s="1"/>
        <i x="114" s="1"/>
        <i x="223" s="1"/>
        <i x="104" s="1"/>
        <i x="297" s="1"/>
        <i x="95" s="1"/>
        <i x="121" s="1"/>
        <i x="128" s="1"/>
        <i x="310" s="1"/>
        <i x="85" s="1"/>
        <i x="170" s="1"/>
        <i x="245" s="1"/>
        <i x="145" s="1"/>
        <i x="154" s="1"/>
        <i x="280" s="1"/>
        <i x="142" s="1"/>
        <i x="112" s="1"/>
        <i x="175" s="1"/>
        <i x="143" s="1"/>
        <i x="120" s="1"/>
        <i x="103" s="1"/>
        <i x="113" s="1"/>
        <i x="162" s="1"/>
        <i x="141" s="1"/>
        <i x="150" s="1"/>
        <i x="151" s="1"/>
        <i x="79" s="1"/>
        <i x="237" s="1"/>
        <i x="119" s="1"/>
        <i x="216" s="1"/>
        <i x="75" s="1"/>
        <i x="72" s="1"/>
        <i x="98" s="1"/>
        <i x="51" s="1"/>
        <i x="134" s="1"/>
        <i x="84" s="1"/>
        <i x="264" s="1"/>
        <i x="76" s="1"/>
        <i x="111" s="1"/>
        <i x="255" s="1"/>
        <i x="252" s="1"/>
        <i x="127" s="1"/>
        <i x="109" s="1"/>
        <i x="136" s="1"/>
        <i x="240" s="1"/>
        <i x="99" s="1"/>
        <i x="80" s="1"/>
        <i x="122" s="1"/>
        <i x="199" s="1"/>
        <i x="110" s="1"/>
        <i x="236" s="1"/>
        <i x="115" s="1"/>
        <i x="153" s="1"/>
        <i x="233" s="1"/>
        <i x="86" s="1"/>
        <i x="218" s="1"/>
        <i x="285" s="1"/>
        <i x="238" s="1"/>
        <i x="102" s="1"/>
        <i x="124" s="1"/>
        <i x="138" s="1"/>
        <i x="221" s="1"/>
        <i x="3" s="1"/>
        <i x="144" s="1"/>
        <i x="192" s="1"/>
        <i x="152" s="1"/>
        <i x="81" s="1"/>
        <i x="234" s="1"/>
        <i x="131" s="1"/>
        <i x="265" s="1"/>
        <i x="146" s="1"/>
        <i x="163" s="1"/>
        <i x="133" s="1"/>
        <i x="96" s="1"/>
        <i x="139" s="1"/>
        <i x="116" s="1"/>
        <i x="281" s="1"/>
        <i x="64" s="1"/>
        <i x="284" s="1"/>
        <i x="135" s="1"/>
        <i x="126" s="1"/>
        <i x="82" s="1"/>
        <i x="132" s="1"/>
        <i x="123" s="1"/>
        <i x="94" s="1"/>
        <i x="107" s="1"/>
        <i x="88" s="1"/>
        <i x="228" s="1"/>
        <i x="277" s="1"/>
        <i x="291" s="1"/>
        <i x="246" s="1"/>
        <i x="44" s="1"/>
        <i x="93" s="1"/>
        <i x="106" s="1"/>
        <i x="100" s="1"/>
        <i x="140" s="1"/>
        <i x="92" s="1"/>
        <i x="90" s="1"/>
        <i x="105" s="1"/>
        <i x="125" s="1"/>
        <i x="311" s="1"/>
        <i x="78" s="1"/>
        <i x="73" s="1"/>
        <i x="271" s="1"/>
        <i x="101" s="1"/>
        <i x="316" s="1"/>
        <i x="157" s="1"/>
        <i x="227" s="1"/>
        <i x="262" s="1"/>
        <i x="159" s="1"/>
        <i x="202" s="1"/>
        <i x="207" s="1"/>
        <i x="267" s="1"/>
        <i x="219" s="1"/>
        <i x="283" s="1"/>
        <i x="87" s="1"/>
        <i x="97" s="1"/>
        <i x="212" s="1"/>
        <i x="274" s="1"/>
        <i x="35" s="1"/>
        <i x="313" s="1"/>
        <i x="7" s="1"/>
        <i x="250" s="1"/>
        <i x="33" s="1"/>
        <i x="39" s="1"/>
        <i x="276" s="1"/>
        <i x="46" s="1"/>
        <i x="208" s="1"/>
        <i x="38" s="1"/>
        <i x="232" s="1"/>
        <i x="178" s="1"/>
        <i x="77" s="1"/>
        <i x="206" s="1"/>
        <i x="279" s="1"/>
        <i x="309" s="1"/>
        <i x="191" s="1"/>
        <i x="272" s="1"/>
        <i x="12" s="1"/>
        <i x="172" s="1"/>
        <i x="60" s="1"/>
        <i x="225" s="1"/>
        <i x="317" s="1"/>
        <i x="302" s="1"/>
        <i x="314" s="1"/>
        <i x="251" s="1"/>
        <i x="235" s="1"/>
        <i x="290" s="1"/>
        <i x="190" s="1"/>
        <i x="266" s="1"/>
        <i x="241" s="1"/>
        <i x="83" s="1"/>
        <i x="247" s="1"/>
        <i x="278" s="1"/>
        <i x="11" s="1"/>
        <i x="261" s="1"/>
        <i x="182" s="1"/>
        <i x="47" s="1"/>
        <i x="74" s="1"/>
        <i x="258" s="1"/>
        <i x="287" s="1"/>
        <i x="303" s="1"/>
        <i x="204" s="1"/>
        <i x="48" s="1"/>
        <i x="254" s="1"/>
        <i x="188" s="1"/>
        <i x="54" s="1"/>
        <i x="29" s="1"/>
        <i x="185" s="1"/>
        <i x="187" s="1"/>
        <i x="299" s="1"/>
        <i x="301" s="1"/>
        <i x="9" s="1"/>
        <i x="294" s="1"/>
        <i x="244" s="1"/>
        <i x="179" s="1"/>
        <i x="66" s="1"/>
        <i x="23" s="1"/>
        <i x="61" s="1"/>
        <i x="196" s="1"/>
        <i x="194" s="1"/>
        <i x="180" s="1"/>
        <i x="217" s="1"/>
        <i x="231" s="1"/>
        <i x="36" s="1"/>
        <i x="14" s="1"/>
        <i x="26" s="1"/>
        <i x="27" s="1"/>
        <i x="296" s="1"/>
        <i x="177" s="1"/>
        <i x="269" s="1"/>
        <i x="248" s="1"/>
        <i x="173" s="1"/>
        <i x="288" s="1"/>
        <i x="37" s="1"/>
        <i x="156" s="1"/>
        <i x="220" s="1"/>
        <i x="292" s="1"/>
        <i x="298" s="1"/>
        <i x="289" s="1"/>
        <i x="176" s="1"/>
        <i x="24" s="1"/>
        <i x="40" s="1"/>
        <i x="304" s="1"/>
        <i x="63" s="1"/>
        <i x="201" s="1"/>
        <i x="17" s="1"/>
        <i x="295" s="1"/>
        <i x="197" s="1"/>
        <i x="8" s="1"/>
        <i x="200" s="1"/>
        <i x="263" s="1"/>
        <i x="34" s="1"/>
        <i x="158" s="1"/>
        <i x="286" s="1"/>
        <i x="257" s="1"/>
        <i x="189" s="1"/>
        <i x="18" s="1"/>
        <i x="229" s="1"/>
        <i x="70" s="1"/>
        <i x="43" s="1"/>
        <i x="169" s="1"/>
        <i x="282" s="1"/>
        <i x="59" s="1"/>
        <i x="268" s="1"/>
        <i x="32" s="1"/>
        <i x="1" s="1"/>
        <i x="253" s="1"/>
        <i x="306" s="1"/>
        <i x="5" s="1"/>
        <i x="45" s="1"/>
        <i x="161" s="1"/>
        <i x="307" s="1"/>
        <i x="16" s="1"/>
        <i x="213" s="1"/>
        <i x="22" s="1"/>
        <i x="270" s="1"/>
        <i x="249" s="1"/>
        <i x="6" s="1"/>
        <i x="209" s="1"/>
        <i x="28" s="1"/>
        <i x="224" s="1"/>
        <i x="230" s="1"/>
        <i x="300" s="1"/>
        <i x="50" s="1"/>
        <i x="293" s="1"/>
        <i x="195" s="1"/>
        <i x="30" s="1"/>
        <i x="256" s="1"/>
        <i x="0" s="1"/>
        <i x="19" s="1"/>
        <i x="41" s="1"/>
        <i x="315" s="1"/>
        <i x="52" s="1"/>
        <i x="183" s="1"/>
        <i x="168" s="1"/>
        <i x="184" s="1"/>
        <i x="65" s="1"/>
        <i x="181" s="1"/>
        <i x="31" s="1"/>
        <i x="71" s="1"/>
        <i x="166" s="1"/>
        <i x="174" s="1"/>
        <i x="226" s="1"/>
        <i x="214" s="1"/>
        <i x="273" s="1"/>
        <i x="4" s="1"/>
        <i x="222" s="1"/>
        <i x="69" s="1"/>
        <i x="308" s="1"/>
        <i x="55" s="1"/>
        <i x="2" s="1"/>
        <i x="203" s="1"/>
        <i x="13" s="1"/>
        <i x="210" s="1"/>
        <i x="211" s="1"/>
        <i x="62" s="1"/>
        <i x="167" s="1"/>
        <i x="164" s="1"/>
        <i x="67" s="1"/>
        <i x="198" s="1"/>
        <i x="68" s="1"/>
        <i x="243" s="1"/>
        <i x="259" s="1"/>
        <i x="193" s="1"/>
        <i x="58" s="1"/>
        <i x="25" s="1"/>
        <i x="260" s="1"/>
        <i x="275" s="1"/>
        <i x="186" s="1"/>
        <i x="56" s="1"/>
        <i x="49" s="1"/>
        <i x="305" s="1"/>
        <i x="205" s="1"/>
        <i x="160" s="1"/>
        <i x="57" s="1"/>
        <i x="53" s="1"/>
        <i x="171" s="1"/>
        <i x="20" s="1"/>
        <i x="10" s="1"/>
        <i x="15" s="1"/>
        <i x="42" s="1"/>
        <i x="21" s="1"/>
        <i x="165" s="1"/>
        <i x="215" s="1"/>
        <i x="242" s="1"/>
        <i x="318" s="1" nd="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748662E9-244C-844B-8426-198DBBF7425D}" sourceName="Date">
  <pivotTables>
    <pivotTable tabId="2" name="PivotTable4"/>
  </pivotTables>
  <data>
    <tabular pivotCacheId="283523360">
      <items count="17">
        <i x="10" s="1"/>
        <i x="12" s="1"/>
        <i x="14" s="1"/>
        <i x="6" s="1"/>
        <i x="0" s="1"/>
        <i x="2" s="1"/>
        <i x="15" s="1"/>
        <i x="8" s="1"/>
        <i x="9" s="1"/>
        <i x="1" s="1"/>
        <i x="4" s="1"/>
        <i x="13" s="1"/>
        <i x="11" s="1"/>
        <i x="5" s="1"/>
        <i x="7" s="1"/>
        <i x="3" s="1"/>
        <i x="16" s="1" nd="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D860D76-2893-EF42-B4B5-A18E0040D5D7}" sourceName="Year">
  <pivotTables>
    <pivotTable tabId="2" name="PivotTable4"/>
  </pivotTables>
  <data>
    <tabular pivotCacheId="283523360">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A9F5D946-D929-A544-A6B8-2F743C7ED897}" cache="Slicer_Segment" caption="Segment" rowHeight="230716"/>
  <slicer name="Country" xr10:uid="{85454A4E-3477-3E40-BA8E-A437F70BF3B1}" cache="Slicer_Country" caption="Country" rowHeight="230716"/>
  <slicer name="Product" xr10:uid="{13CA785B-A3E0-B346-838C-A9314A84A923}" cache="Slicer_Product" caption="Product" rowHeight="230716"/>
  <slicer name="Discount Band" xr10:uid="{6C949E65-098B-4842-9D22-D0C4630BD2F9}" cache="Slicer_Discount_Band" caption="Discount Band" rowHeight="230716"/>
  <slicer name="Segment 1" xr10:uid="{56127F90-0BED-7D4D-9668-9C252D2E4AC4}" cache="Slicer_Segment1" caption="Segment" rowHeight="230716"/>
  <slicer name="Country 1" xr10:uid="{78C15FF0-F143-B94C-9614-AD251ED25E42}" cache="Slicer_Country1" caption="Country" rowHeight="230716"/>
  <slicer name="Product 1" xr10:uid="{DEA3845E-903A-E147-BFCB-D0008A81F74E}" cache="Slicer_Product1" caption="Product" rowHeight="230716"/>
  <slicer name="Units Sold" xr10:uid="{F8BF1C7D-7885-A74C-A26B-10E4B8BA980E}" cache="Slicer_Units_Sold" caption="Units Sold" rowHeight="230716"/>
  <slicer name="Segment 2" xr10:uid="{7B67B7B6-9858-1743-A706-ACBA9D5D5EB0}" cache="Slicer_Segment2" caption="Segment" rowHeight="230716"/>
  <slicer name="Gross Sales" xr10:uid="{1B767163-27D8-1D4C-8721-4E024B54D14A}" cache="Slicer_Gross_Sales" caption="Gross Sales" rowHeight="230716"/>
  <slicer name="Discounts" xr10:uid="{83A7D6C3-0F6F-4541-A29A-FFF5965BEC8C}" cache="Slicer_Discounts" caption="Discounts" startItem="16" rowHeight="230716"/>
  <slicer name=" Sales" xr10:uid="{F8116F92-96B3-2F47-A826-E59A94C3D0D1}" cache="Slicer_Sales" caption=" Sales" rowHeight="230716"/>
  <slicer name="COGS" xr10:uid="{69A01C43-3C36-3E40-BD01-6AF38546C42C}" cache="Slicer_COGS" caption="COGS" rowHeight="230716"/>
  <slicer name="Profit" xr10:uid="{E76D218D-F0D1-3249-B905-3EB61BBB84FC}" cache="Slicer_Profit" caption="Profit" rowHeight="230716"/>
  <slicer name="Date" xr10:uid="{8E8EFBDD-A0CB-CC4E-9F4F-9719C99246C7}" cache="Slicer_Date" caption="Date" rowHeight="230716"/>
  <slicer name="Year" xr10:uid="{F855FCA4-46D9-804B-9CF7-48537A483262}" cache="Slicer_Year" caption="Year"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AF0DD-190A-8244-9C2B-E8EB9A233B0E}">
  <dimension ref="A1:K64"/>
  <sheetViews>
    <sheetView tabSelected="1" workbookViewId="0">
      <selection activeCell="B60" sqref="B60"/>
    </sheetView>
  </sheetViews>
  <sheetFormatPr baseColWidth="10" defaultRowHeight="15" x14ac:dyDescent="0.2"/>
  <cols>
    <col min="1" max="1" width="14" bestFit="1" customWidth="1"/>
    <col min="2" max="2" width="12.1640625" bestFit="1" customWidth="1"/>
    <col min="5" max="5" width="24.6640625" customWidth="1"/>
    <col min="6" max="6" width="14" bestFit="1" customWidth="1"/>
    <col min="7" max="7" width="12.1640625" bestFit="1" customWidth="1"/>
    <col min="9" max="9" width="21.83203125" customWidth="1"/>
  </cols>
  <sheetData>
    <row r="1" spans="1:11" ht="47" x14ac:dyDescent="0.55000000000000004">
      <c r="E1" s="8" t="s">
        <v>55</v>
      </c>
      <c r="I1" s="6"/>
      <c r="J1" s="6"/>
      <c r="K1" s="6"/>
    </row>
    <row r="2" spans="1:11" ht="21" x14ac:dyDescent="0.25">
      <c r="E2" s="7" t="s">
        <v>51</v>
      </c>
      <c r="F2" s="7">
        <f>SUM(Sheet1!J:J)</f>
        <v>8033264.8100000052</v>
      </c>
      <c r="G2" s="6"/>
    </row>
    <row r="3" spans="1:11" ht="21" x14ac:dyDescent="0.25">
      <c r="E3" s="7" t="s">
        <v>52</v>
      </c>
      <c r="F3" s="7">
        <f>SUM(Sheet1!L:L)</f>
        <v>3416937.3100000019</v>
      </c>
      <c r="G3" s="6"/>
    </row>
    <row r="4" spans="1:11" ht="21" x14ac:dyDescent="0.25">
      <c r="E4" s="7" t="s">
        <v>53</v>
      </c>
      <c r="F4" s="7">
        <f>SUM(Sheet1!E:E)</f>
        <v>636008.5</v>
      </c>
      <c r="G4" s="6"/>
    </row>
    <row r="5" spans="1:11" ht="21" x14ac:dyDescent="0.25">
      <c r="E5" s="7" t="s">
        <v>54</v>
      </c>
      <c r="F5" s="7">
        <f>SUM(Sheet1!H:H)</f>
        <v>8682992</v>
      </c>
      <c r="G5" s="6"/>
    </row>
    <row r="11" spans="1:11" x14ac:dyDescent="0.2">
      <c r="A11" s="4" t="s">
        <v>47</v>
      </c>
      <c r="B11" t="s">
        <v>46</v>
      </c>
    </row>
    <row r="12" spans="1:11" x14ac:dyDescent="0.2">
      <c r="A12" s="5" t="s">
        <v>17</v>
      </c>
      <c r="B12" s="3">
        <v>1788475.034999999</v>
      </c>
    </row>
    <row r="13" spans="1:11" x14ac:dyDescent="0.2">
      <c r="A13" s="5" t="s">
        <v>22</v>
      </c>
      <c r="B13" s="3">
        <v>1777311.7050000001</v>
      </c>
    </row>
    <row r="14" spans="1:11" x14ac:dyDescent="0.2">
      <c r="A14" s="5" t="s">
        <v>21</v>
      </c>
      <c r="B14" s="3">
        <v>1351872.0699999996</v>
      </c>
    </row>
    <row r="15" spans="1:11" x14ac:dyDescent="0.2">
      <c r="A15" s="5" t="s">
        <v>35</v>
      </c>
      <c r="B15" s="3">
        <v>1530899.8599999992</v>
      </c>
    </row>
    <row r="16" spans="1:11" x14ac:dyDescent="0.2">
      <c r="A16" s="5" t="s">
        <v>32</v>
      </c>
      <c r="B16" s="3">
        <v>1584706.1400000001</v>
      </c>
    </row>
    <row r="17" spans="1:2" x14ac:dyDescent="0.2">
      <c r="A17" s="5" t="s">
        <v>48</v>
      </c>
      <c r="B17" s="3">
        <v>8033264.8099999987</v>
      </c>
    </row>
    <row r="23" spans="1:2" x14ac:dyDescent="0.2">
      <c r="A23" s="4" t="s">
        <v>47</v>
      </c>
      <c r="B23" t="s">
        <v>50</v>
      </c>
    </row>
    <row r="24" spans="1:2" x14ac:dyDescent="0.2">
      <c r="A24" s="5" t="s">
        <v>29</v>
      </c>
      <c r="B24" s="3">
        <v>473785.56000000011</v>
      </c>
    </row>
    <row r="25" spans="1:2" x14ac:dyDescent="0.2">
      <c r="A25" s="5" t="s">
        <v>18</v>
      </c>
      <c r="B25" s="3">
        <v>493285.26</v>
      </c>
    </row>
    <row r="26" spans="1:2" x14ac:dyDescent="0.2">
      <c r="A26" s="5" t="s">
        <v>23</v>
      </c>
      <c r="B26" s="3">
        <v>483932.13000000006</v>
      </c>
    </row>
    <row r="27" spans="1:2" x14ac:dyDescent="0.2">
      <c r="A27" s="5" t="s">
        <v>25</v>
      </c>
      <c r="B27" s="3">
        <v>1031421.775</v>
      </c>
    </row>
    <row r="28" spans="1:2" x14ac:dyDescent="0.2">
      <c r="A28" s="5" t="s">
        <v>34</v>
      </c>
      <c r="B28" s="3">
        <v>421272.56500000006</v>
      </c>
    </row>
    <row r="29" spans="1:2" x14ac:dyDescent="0.2">
      <c r="A29" s="5" t="s">
        <v>28</v>
      </c>
      <c r="B29" s="3">
        <v>513240.01999999996</v>
      </c>
    </row>
    <row r="30" spans="1:2" x14ac:dyDescent="0.2">
      <c r="A30" s="5" t="s">
        <v>49</v>
      </c>
      <c r="B30" s="3"/>
    </row>
    <row r="31" spans="1:2" x14ac:dyDescent="0.2">
      <c r="A31" s="5" t="s">
        <v>48</v>
      </c>
      <c r="B31" s="3">
        <v>3416937.31</v>
      </c>
    </row>
    <row r="38" spans="1:2" x14ac:dyDescent="0.2">
      <c r="A38" s="4" t="s">
        <v>47</v>
      </c>
      <c r="B38" t="s">
        <v>46</v>
      </c>
    </row>
    <row r="39" spans="1:2" x14ac:dyDescent="0.2">
      <c r="A39" s="5" t="s">
        <v>20</v>
      </c>
      <c r="B39" s="3">
        <v>472870.21000000008</v>
      </c>
    </row>
    <row r="40" spans="1:2" x14ac:dyDescent="0.2">
      <c r="A40" s="5" t="s">
        <v>26</v>
      </c>
      <c r="B40" s="3">
        <v>356755.14</v>
      </c>
    </row>
    <row r="41" spans="1:2" x14ac:dyDescent="0.2">
      <c r="A41" s="5" t="s">
        <v>42</v>
      </c>
      <c r="B41" s="3">
        <v>376267.62</v>
      </c>
    </row>
    <row r="42" spans="1:2" x14ac:dyDescent="0.2">
      <c r="A42" s="5" t="s">
        <v>37</v>
      </c>
      <c r="B42" s="3">
        <v>452412.27</v>
      </c>
    </row>
    <row r="43" spans="1:2" x14ac:dyDescent="0.2">
      <c r="A43" s="5" t="s">
        <v>38</v>
      </c>
      <c r="B43" s="3">
        <v>374354.05999999994</v>
      </c>
    </row>
    <row r="44" spans="1:2" x14ac:dyDescent="0.2">
      <c r="A44" s="5" t="s">
        <v>24</v>
      </c>
      <c r="B44" s="3">
        <v>848303.32000000007</v>
      </c>
    </row>
    <row r="45" spans="1:2" x14ac:dyDescent="0.2">
      <c r="A45" s="5" t="s">
        <v>31</v>
      </c>
      <c r="B45" s="3">
        <v>351148.50000000006</v>
      </c>
    </row>
    <row r="46" spans="1:2" x14ac:dyDescent="0.2">
      <c r="A46" s="5" t="s">
        <v>41</v>
      </c>
      <c r="B46" s="3">
        <v>463358.92000000004</v>
      </c>
    </row>
    <row r="47" spans="1:2" x14ac:dyDescent="0.2">
      <c r="A47" s="5" t="s">
        <v>39</v>
      </c>
      <c r="B47" s="3">
        <v>897169.2699999999</v>
      </c>
    </row>
    <row r="48" spans="1:2" x14ac:dyDescent="0.2">
      <c r="A48" s="5" t="s">
        <v>33</v>
      </c>
      <c r="B48" s="3">
        <v>1508209.5199999991</v>
      </c>
    </row>
    <row r="49" spans="1:2" x14ac:dyDescent="0.2">
      <c r="A49" s="5" t="s">
        <v>36</v>
      </c>
      <c r="B49" s="3">
        <v>860334.49999999988</v>
      </c>
    </row>
    <row r="50" spans="1:2" x14ac:dyDescent="0.2">
      <c r="A50" s="5" t="s">
        <v>27</v>
      </c>
      <c r="B50" s="3">
        <v>1072081.4800000002</v>
      </c>
    </row>
    <row r="51" spans="1:2" x14ac:dyDescent="0.2">
      <c r="A51" s="5" t="s">
        <v>49</v>
      </c>
      <c r="B51" s="3"/>
    </row>
    <row r="52" spans="1:2" x14ac:dyDescent="0.2">
      <c r="A52" s="5" t="s">
        <v>48</v>
      </c>
      <c r="B52" s="3">
        <v>8033264.8099999987</v>
      </c>
    </row>
    <row r="58" spans="1:2" x14ac:dyDescent="0.2">
      <c r="A58" s="4" t="s">
        <v>47</v>
      </c>
      <c r="B58" t="s">
        <v>46</v>
      </c>
    </row>
    <row r="59" spans="1:2" x14ac:dyDescent="0.2">
      <c r="A59" s="5" t="s">
        <v>44</v>
      </c>
      <c r="B59" s="3">
        <v>1757595.9599999997</v>
      </c>
    </row>
    <row r="60" spans="1:2" x14ac:dyDescent="0.2">
      <c r="A60" s="5" t="s">
        <v>45</v>
      </c>
      <c r="B60" s="3">
        <v>165450</v>
      </c>
    </row>
    <row r="61" spans="1:2" x14ac:dyDescent="0.2">
      <c r="A61" s="5" t="s">
        <v>16</v>
      </c>
      <c r="B61" s="3">
        <v>3728335.7750000022</v>
      </c>
    </row>
    <row r="62" spans="1:2" x14ac:dyDescent="0.2">
      <c r="A62" s="5" t="s">
        <v>43</v>
      </c>
      <c r="B62" s="3">
        <v>2381883.0749999997</v>
      </c>
    </row>
    <row r="63" spans="1:2" x14ac:dyDescent="0.2">
      <c r="A63" s="5" t="s">
        <v>49</v>
      </c>
      <c r="B63" s="3"/>
    </row>
    <row r="64" spans="1:2" x14ac:dyDescent="0.2">
      <c r="A64" s="5" t="s">
        <v>48</v>
      </c>
      <c r="B64" s="3">
        <v>8033264.8100000024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0"/>
  <sheetViews>
    <sheetView workbookViewId="0">
      <selection sqref="A1:P400"/>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t="s">
        <v>16</v>
      </c>
      <c r="B2" t="s">
        <v>17</v>
      </c>
      <c r="C2" t="s">
        <v>18</v>
      </c>
      <c r="D2" t="s">
        <v>19</v>
      </c>
      <c r="E2">
        <v>1618.5</v>
      </c>
      <c r="F2">
        <v>3</v>
      </c>
      <c r="G2">
        <v>20</v>
      </c>
      <c r="H2">
        <v>32370</v>
      </c>
      <c r="I2">
        <v>0</v>
      </c>
      <c r="J2">
        <v>32370</v>
      </c>
      <c r="K2">
        <v>16185</v>
      </c>
      <c r="L2">
        <v>16185</v>
      </c>
      <c r="M2" s="2">
        <v>41640</v>
      </c>
      <c r="N2">
        <v>1</v>
      </c>
      <c r="O2" t="s">
        <v>20</v>
      </c>
      <c r="P2">
        <v>2014</v>
      </c>
    </row>
    <row r="3" spans="1:16" x14ac:dyDescent="0.2">
      <c r="A3" t="s">
        <v>16</v>
      </c>
      <c r="B3" t="s">
        <v>21</v>
      </c>
      <c r="C3" t="s">
        <v>18</v>
      </c>
      <c r="D3" t="s">
        <v>19</v>
      </c>
      <c r="E3">
        <v>1321</v>
      </c>
      <c r="F3">
        <v>3</v>
      </c>
      <c r="G3">
        <v>20</v>
      </c>
      <c r="H3">
        <v>26420</v>
      </c>
      <c r="I3">
        <v>0</v>
      </c>
      <c r="J3">
        <v>26420</v>
      </c>
      <c r="K3">
        <v>13210</v>
      </c>
      <c r="L3">
        <v>13210</v>
      </c>
      <c r="M3" s="2">
        <v>41640</v>
      </c>
      <c r="N3">
        <v>1</v>
      </c>
      <c r="O3" t="s">
        <v>20</v>
      </c>
      <c r="P3">
        <v>2014</v>
      </c>
    </row>
    <row r="4" spans="1:16" x14ac:dyDescent="0.2">
      <c r="A4" t="s">
        <v>16</v>
      </c>
      <c r="B4" t="s">
        <v>22</v>
      </c>
      <c r="C4" t="s">
        <v>23</v>
      </c>
      <c r="D4" t="s">
        <v>19</v>
      </c>
      <c r="E4">
        <v>1899</v>
      </c>
      <c r="F4">
        <v>5</v>
      </c>
      <c r="G4">
        <v>20</v>
      </c>
      <c r="H4">
        <v>37980</v>
      </c>
      <c r="I4">
        <v>0</v>
      </c>
      <c r="J4">
        <v>37980</v>
      </c>
      <c r="K4">
        <v>18990</v>
      </c>
      <c r="L4">
        <v>18990</v>
      </c>
      <c r="M4" s="2">
        <v>41791</v>
      </c>
      <c r="N4">
        <v>6</v>
      </c>
      <c r="O4" t="s">
        <v>24</v>
      </c>
      <c r="P4">
        <v>2014</v>
      </c>
    </row>
    <row r="5" spans="1:16" x14ac:dyDescent="0.2">
      <c r="A5" t="s">
        <v>16</v>
      </c>
      <c r="B5" t="s">
        <v>17</v>
      </c>
      <c r="C5" t="s">
        <v>25</v>
      </c>
      <c r="D5" t="s">
        <v>19</v>
      </c>
      <c r="E5">
        <v>292</v>
      </c>
      <c r="F5">
        <v>10</v>
      </c>
      <c r="G5">
        <v>20</v>
      </c>
      <c r="H5">
        <v>5840</v>
      </c>
      <c r="I5">
        <v>0</v>
      </c>
      <c r="J5">
        <v>5840</v>
      </c>
      <c r="K5">
        <v>2920</v>
      </c>
      <c r="L5">
        <v>2920</v>
      </c>
      <c r="M5" s="2">
        <v>41671</v>
      </c>
      <c r="N5">
        <v>2</v>
      </c>
      <c r="O5" t="s">
        <v>26</v>
      </c>
      <c r="P5">
        <v>2014</v>
      </c>
    </row>
    <row r="6" spans="1:16" x14ac:dyDescent="0.2">
      <c r="A6" t="s">
        <v>16</v>
      </c>
      <c r="B6" t="s">
        <v>17</v>
      </c>
      <c r="C6" t="s">
        <v>25</v>
      </c>
      <c r="D6" t="s">
        <v>19</v>
      </c>
      <c r="E6">
        <v>1817</v>
      </c>
      <c r="F6">
        <v>10</v>
      </c>
      <c r="G6">
        <v>20</v>
      </c>
      <c r="H6">
        <v>36340</v>
      </c>
      <c r="I6">
        <v>0</v>
      </c>
      <c r="J6">
        <v>36340</v>
      </c>
      <c r="K6">
        <v>18170</v>
      </c>
      <c r="L6">
        <v>18170</v>
      </c>
      <c r="M6" s="2">
        <v>41974</v>
      </c>
      <c r="N6">
        <v>12</v>
      </c>
      <c r="O6" t="s">
        <v>27</v>
      </c>
      <c r="P6">
        <v>2014</v>
      </c>
    </row>
    <row r="7" spans="1:16" x14ac:dyDescent="0.2">
      <c r="A7" t="s">
        <v>16</v>
      </c>
      <c r="B7" t="s">
        <v>17</v>
      </c>
      <c r="C7" t="s">
        <v>28</v>
      </c>
      <c r="D7" t="s">
        <v>19</v>
      </c>
      <c r="E7">
        <v>1817</v>
      </c>
      <c r="F7">
        <v>250</v>
      </c>
      <c r="G7">
        <v>20</v>
      </c>
      <c r="H7">
        <v>36340</v>
      </c>
      <c r="I7">
        <v>0</v>
      </c>
      <c r="J7">
        <v>36340</v>
      </c>
      <c r="K7">
        <v>18170</v>
      </c>
      <c r="L7">
        <v>18170</v>
      </c>
      <c r="M7" s="2">
        <v>41974</v>
      </c>
      <c r="N7">
        <v>12</v>
      </c>
      <c r="O7" t="s">
        <v>27</v>
      </c>
      <c r="P7">
        <v>2014</v>
      </c>
    </row>
    <row r="8" spans="1:16" x14ac:dyDescent="0.2">
      <c r="A8" t="s">
        <v>16</v>
      </c>
      <c r="B8" t="s">
        <v>22</v>
      </c>
      <c r="C8" t="s">
        <v>29</v>
      </c>
      <c r="D8" t="s">
        <v>19</v>
      </c>
      <c r="E8">
        <v>1899</v>
      </c>
      <c r="F8">
        <v>260</v>
      </c>
      <c r="G8">
        <v>20</v>
      </c>
      <c r="H8">
        <v>37980</v>
      </c>
      <c r="I8">
        <v>0</v>
      </c>
      <c r="J8">
        <v>37980</v>
      </c>
      <c r="K8">
        <v>18990</v>
      </c>
      <c r="L8">
        <v>18990</v>
      </c>
      <c r="M8" s="2">
        <v>41791</v>
      </c>
      <c r="N8">
        <v>6</v>
      </c>
      <c r="O8" t="s">
        <v>24</v>
      </c>
      <c r="P8">
        <v>2014</v>
      </c>
    </row>
    <row r="9" spans="1:16" x14ac:dyDescent="0.2">
      <c r="A9" t="s">
        <v>16</v>
      </c>
      <c r="B9" t="s">
        <v>22</v>
      </c>
      <c r="C9" t="s">
        <v>23</v>
      </c>
      <c r="D9" t="s">
        <v>30</v>
      </c>
      <c r="E9">
        <v>1375.5</v>
      </c>
      <c r="F9">
        <v>5</v>
      </c>
      <c r="G9">
        <v>20</v>
      </c>
      <c r="H9">
        <v>27510</v>
      </c>
      <c r="I9">
        <v>275.10000000000002</v>
      </c>
      <c r="J9">
        <v>27234.9</v>
      </c>
      <c r="K9">
        <v>13755</v>
      </c>
      <c r="L9">
        <v>13479.9</v>
      </c>
      <c r="M9" s="2">
        <v>41821</v>
      </c>
      <c r="N9">
        <v>7</v>
      </c>
      <c r="O9" t="s">
        <v>31</v>
      </c>
      <c r="P9">
        <v>2014</v>
      </c>
    </row>
    <row r="10" spans="1:16" x14ac:dyDescent="0.2">
      <c r="A10" t="s">
        <v>16</v>
      </c>
      <c r="B10" t="s">
        <v>32</v>
      </c>
      <c r="C10" t="s">
        <v>23</v>
      </c>
      <c r="D10" t="s">
        <v>30</v>
      </c>
      <c r="E10">
        <v>1566</v>
      </c>
      <c r="F10">
        <v>5</v>
      </c>
      <c r="G10">
        <v>20</v>
      </c>
      <c r="H10">
        <v>31320</v>
      </c>
      <c r="I10">
        <v>626.4</v>
      </c>
      <c r="J10">
        <v>30693.599999999999</v>
      </c>
      <c r="K10">
        <v>15660</v>
      </c>
      <c r="L10">
        <v>15033.6</v>
      </c>
      <c r="M10" s="2">
        <v>41913</v>
      </c>
      <c r="N10">
        <v>10</v>
      </c>
      <c r="O10" t="s">
        <v>33</v>
      </c>
      <c r="P10">
        <v>2014</v>
      </c>
    </row>
    <row r="11" spans="1:16" x14ac:dyDescent="0.2">
      <c r="A11" t="s">
        <v>16</v>
      </c>
      <c r="B11" t="s">
        <v>32</v>
      </c>
      <c r="C11" t="s">
        <v>34</v>
      </c>
      <c r="D11" t="s">
        <v>30</v>
      </c>
      <c r="E11">
        <v>1566</v>
      </c>
      <c r="F11">
        <v>120</v>
      </c>
      <c r="G11">
        <v>20</v>
      </c>
      <c r="H11">
        <v>31320</v>
      </c>
      <c r="I11">
        <v>626.4</v>
      </c>
      <c r="J11">
        <v>30693.599999999999</v>
      </c>
      <c r="K11">
        <v>15660</v>
      </c>
      <c r="L11">
        <v>15033.6</v>
      </c>
      <c r="M11" s="2">
        <v>41913</v>
      </c>
      <c r="N11">
        <v>10</v>
      </c>
      <c r="O11" t="s">
        <v>33</v>
      </c>
      <c r="P11">
        <v>2014</v>
      </c>
    </row>
    <row r="12" spans="1:16" x14ac:dyDescent="0.2">
      <c r="A12" t="s">
        <v>16</v>
      </c>
      <c r="B12" t="s">
        <v>35</v>
      </c>
      <c r="C12" t="s">
        <v>34</v>
      </c>
      <c r="D12" t="s">
        <v>30</v>
      </c>
      <c r="E12">
        <v>544</v>
      </c>
      <c r="F12">
        <v>120</v>
      </c>
      <c r="G12">
        <v>20</v>
      </c>
      <c r="H12">
        <v>10880</v>
      </c>
      <c r="I12">
        <v>217.6</v>
      </c>
      <c r="J12">
        <v>10662.4</v>
      </c>
      <c r="K12">
        <v>5440</v>
      </c>
      <c r="L12">
        <v>5222.3999999999996</v>
      </c>
      <c r="M12" s="2">
        <v>41609</v>
      </c>
      <c r="N12">
        <v>12</v>
      </c>
      <c r="O12" t="s">
        <v>27</v>
      </c>
      <c r="P12">
        <v>2013</v>
      </c>
    </row>
    <row r="13" spans="1:16" x14ac:dyDescent="0.2">
      <c r="A13" t="s">
        <v>16</v>
      </c>
      <c r="B13" t="s">
        <v>32</v>
      </c>
      <c r="C13" t="s">
        <v>29</v>
      </c>
      <c r="D13" t="s">
        <v>30</v>
      </c>
      <c r="E13">
        <v>1236</v>
      </c>
      <c r="F13">
        <v>260</v>
      </c>
      <c r="G13">
        <v>20</v>
      </c>
      <c r="H13">
        <v>24720</v>
      </c>
      <c r="I13">
        <v>494.4</v>
      </c>
      <c r="J13">
        <v>24225.599999999999</v>
      </c>
      <c r="K13">
        <v>12360</v>
      </c>
      <c r="L13">
        <v>11865.6</v>
      </c>
      <c r="M13" s="2">
        <v>41944</v>
      </c>
      <c r="N13">
        <v>11</v>
      </c>
      <c r="O13" t="s">
        <v>36</v>
      </c>
      <c r="P13">
        <v>2014</v>
      </c>
    </row>
    <row r="14" spans="1:16" x14ac:dyDescent="0.2">
      <c r="A14" t="s">
        <v>16</v>
      </c>
      <c r="B14" t="s">
        <v>22</v>
      </c>
      <c r="C14" t="s">
        <v>29</v>
      </c>
      <c r="D14" t="s">
        <v>30</v>
      </c>
      <c r="E14">
        <v>941</v>
      </c>
      <c r="F14">
        <v>260</v>
      </c>
      <c r="G14">
        <v>20</v>
      </c>
      <c r="H14">
        <v>18820</v>
      </c>
      <c r="I14">
        <v>376.4</v>
      </c>
      <c r="J14">
        <v>18443.599999999999</v>
      </c>
      <c r="K14">
        <v>9410</v>
      </c>
      <c r="L14">
        <v>9033.6</v>
      </c>
      <c r="M14" s="2">
        <v>41944</v>
      </c>
      <c r="N14">
        <v>11</v>
      </c>
      <c r="O14" t="s">
        <v>36</v>
      </c>
      <c r="P14">
        <v>2014</v>
      </c>
    </row>
    <row r="15" spans="1:16" x14ac:dyDescent="0.2">
      <c r="A15" t="s">
        <v>16</v>
      </c>
      <c r="B15" t="s">
        <v>21</v>
      </c>
      <c r="C15" t="s">
        <v>18</v>
      </c>
      <c r="D15" t="s">
        <v>30</v>
      </c>
      <c r="E15">
        <v>2580</v>
      </c>
      <c r="F15">
        <v>3</v>
      </c>
      <c r="G15">
        <v>20</v>
      </c>
      <c r="H15">
        <v>51600</v>
      </c>
      <c r="I15">
        <v>1548</v>
      </c>
      <c r="J15">
        <v>50052</v>
      </c>
      <c r="K15">
        <v>25800</v>
      </c>
      <c r="L15">
        <v>24252</v>
      </c>
      <c r="M15" s="2">
        <v>41730</v>
      </c>
      <c r="N15">
        <v>4</v>
      </c>
      <c r="O15" t="s">
        <v>37</v>
      </c>
      <c r="P15">
        <v>2014</v>
      </c>
    </row>
    <row r="16" spans="1:16" x14ac:dyDescent="0.2">
      <c r="A16" t="s">
        <v>16</v>
      </c>
      <c r="B16" t="s">
        <v>17</v>
      </c>
      <c r="C16" t="s">
        <v>18</v>
      </c>
      <c r="D16" t="s">
        <v>30</v>
      </c>
      <c r="E16">
        <v>831</v>
      </c>
      <c r="F16">
        <v>3</v>
      </c>
      <c r="G16">
        <v>20</v>
      </c>
      <c r="H16">
        <v>16620</v>
      </c>
      <c r="I16">
        <v>498.6</v>
      </c>
      <c r="J16">
        <v>16121.4</v>
      </c>
      <c r="K16">
        <v>8310</v>
      </c>
      <c r="L16">
        <v>7811.4</v>
      </c>
      <c r="M16" s="2">
        <v>41760</v>
      </c>
      <c r="N16">
        <v>5</v>
      </c>
      <c r="O16" t="s">
        <v>38</v>
      </c>
      <c r="P16">
        <v>2014</v>
      </c>
    </row>
    <row r="17" spans="1:16" x14ac:dyDescent="0.2">
      <c r="A17" t="s">
        <v>16</v>
      </c>
      <c r="B17" t="s">
        <v>32</v>
      </c>
      <c r="C17" t="s">
        <v>34</v>
      </c>
      <c r="D17" t="s">
        <v>30</v>
      </c>
      <c r="E17">
        <v>736</v>
      </c>
      <c r="F17">
        <v>120</v>
      </c>
      <c r="G17">
        <v>20</v>
      </c>
      <c r="H17">
        <v>14720</v>
      </c>
      <c r="I17">
        <v>588.79999999999995</v>
      </c>
      <c r="J17">
        <v>14131.2</v>
      </c>
      <c r="K17">
        <v>7360</v>
      </c>
      <c r="L17">
        <v>6771.2</v>
      </c>
      <c r="M17" s="2">
        <v>41518</v>
      </c>
      <c r="N17">
        <v>9</v>
      </c>
      <c r="O17" t="s">
        <v>39</v>
      </c>
      <c r="P17">
        <v>2013</v>
      </c>
    </row>
    <row r="18" spans="1:16" x14ac:dyDescent="0.2">
      <c r="A18" t="s">
        <v>16</v>
      </c>
      <c r="B18" t="s">
        <v>17</v>
      </c>
      <c r="C18" t="s">
        <v>25</v>
      </c>
      <c r="D18" t="s">
        <v>30</v>
      </c>
      <c r="E18">
        <v>2074</v>
      </c>
      <c r="F18">
        <v>10</v>
      </c>
      <c r="G18">
        <v>20</v>
      </c>
      <c r="H18">
        <v>41480</v>
      </c>
      <c r="I18">
        <v>1659.2</v>
      </c>
      <c r="J18">
        <v>39820.800000000003</v>
      </c>
      <c r="K18">
        <v>20740</v>
      </c>
      <c r="L18">
        <v>19080.8</v>
      </c>
      <c r="M18" s="2">
        <v>41883</v>
      </c>
      <c r="N18">
        <v>9</v>
      </c>
      <c r="O18" t="s">
        <v>39</v>
      </c>
      <c r="P18">
        <v>2014</v>
      </c>
    </row>
    <row r="19" spans="1:16" x14ac:dyDescent="0.2">
      <c r="A19" t="s">
        <v>16</v>
      </c>
      <c r="B19" t="s">
        <v>32</v>
      </c>
      <c r="C19" t="s">
        <v>25</v>
      </c>
      <c r="D19" t="s">
        <v>30</v>
      </c>
      <c r="E19">
        <v>1056</v>
      </c>
      <c r="F19">
        <v>10</v>
      </c>
      <c r="G19">
        <v>20</v>
      </c>
      <c r="H19">
        <v>21120</v>
      </c>
      <c r="I19">
        <v>844.8</v>
      </c>
      <c r="J19">
        <v>20275.2</v>
      </c>
      <c r="K19">
        <v>10560</v>
      </c>
      <c r="L19">
        <v>9715.2000000000007</v>
      </c>
      <c r="M19" s="2">
        <v>41883</v>
      </c>
      <c r="N19">
        <v>9</v>
      </c>
      <c r="O19" t="s">
        <v>39</v>
      </c>
      <c r="P19">
        <v>2014</v>
      </c>
    </row>
    <row r="20" spans="1:16" x14ac:dyDescent="0.2">
      <c r="A20" t="s">
        <v>16</v>
      </c>
      <c r="B20" t="s">
        <v>17</v>
      </c>
      <c r="C20" t="s">
        <v>34</v>
      </c>
      <c r="D20" t="s">
        <v>30</v>
      </c>
      <c r="E20">
        <v>2646</v>
      </c>
      <c r="F20">
        <v>120</v>
      </c>
      <c r="G20">
        <v>20</v>
      </c>
      <c r="H20">
        <v>52920</v>
      </c>
      <c r="I20">
        <v>2116.8000000000002</v>
      </c>
      <c r="J20">
        <v>50803.199999999997</v>
      </c>
      <c r="K20">
        <v>26460</v>
      </c>
      <c r="L20">
        <v>24343.200000000001</v>
      </c>
      <c r="M20" s="2">
        <v>41518</v>
      </c>
      <c r="N20">
        <v>9</v>
      </c>
      <c r="O20" t="s">
        <v>39</v>
      </c>
      <c r="P20">
        <v>2013</v>
      </c>
    </row>
    <row r="21" spans="1:16" x14ac:dyDescent="0.2">
      <c r="A21" t="s">
        <v>16</v>
      </c>
      <c r="B21" t="s">
        <v>22</v>
      </c>
      <c r="C21" t="s">
        <v>18</v>
      </c>
      <c r="D21" t="s">
        <v>40</v>
      </c>
      <c r="E21">
        <v>1563</v>
      </c>
      <c r="F21">
        <v>3</v>
      </c>
      <c r="G21">
        <v>20</v>
      </c>
      <c r="H21">
        <v>31260</v>
      </c>
      <c r="I21">
        <v>1563</v>
      </c>
      <c r="J21">
        <v>29697</v>
      </c>
      <c r="K21">
        <v>15630</v>
      </c>
      <c r="L21">
        <v>14067</v>
      </c>
      <c r="M21" s="2">
        <v>41760</v>
      </c>
      <c r="N21">
        <v>5</v>
      </c>
      <c r="O21" t="s">
        <v>38</v>
      </c>
      <c r="P21">
        <v>2014</v>
      </c>
    </row>
    <row r="22" spans="1:16" x14ac:dyDescent="0.2">
      <c r="A22" t="s">
        <v>16</v>
      </c>
      <c r="B22" t="s">
        <v>22</v>
      </c>
      <c r="C22" t="s">
        <v>25</v>
      </c>
      <c r="D22" t="s">
        <v>40</v>
      </c>
      <c r="E22">
        <v>1303</v>
      </c>
      <c r="F22">
        <v>10</v>
      </c>
      <c r="G22">
        <v>20</v>
      </c>
      <c r="H22">
        <v>26060</v>
      </c>
      <c r="I22">
        <v>1303</v>
      </c>
      <c r="J22">
        <v>24757</v>
      </c>
      <c r="K22">
        <v>13030</v>
      </c>
      <c r="L22">
        <v>11727</v>
      </c>
      <c r="M22" s="2">
        <v>41671</v>
      </c>
      <c r="N22">
        <v>2</v>
      </c>
      <c r="O22" t="s">
        <v>26</v>
      </c>
      <c r="P22">
        <v>2014</v>
      </c>
    </row>
    <row r="23" spans="1:16" x14ac:dyDescent="0.2">
      <c r="A23" t="s">
        <v>16</v>
      </c>
      <c r="B23" t="s">
        <v>17</v>
      </c>
      <c r="C23" t="s">
        <v>25</v>
      </c>
      <c r="D23" t="s">
        <v>40</v>
      </c>
      <c r="E23">
        <v>1389</v>
      </c>
      <c r="F23">
        <v>10</v>
      </c>
      <c r="G23">
        <v>20</v>
      </c>
      <c r="H23">
        <v>27780</v>
      </c>
      <c r="I23">
        <v>1389</v>
      </c>
      <c r="J23">
        <v>26391</v>
      </c>
      <c r="K23">
        <v>13890</v>
      </c>
      <c r="L23">
        <v>12501</v>
      </c>
      <c r="M23" s="2">
        <v>41548</v>
      </c>
      <c r="N23">
        <v>10</v>
      </c>
      <c r="O23" t="s">
        <v>33</v>
      </c>
      <c r="P23">
        <v>2013</v>
      </c>
    </row>
    <row r="24" spans="1:16" x14ac:dyDescent="0.2">
      <c r="A24" t="s">
        <v>16</v>
      </c>
      <c r="B24" t="s">
        <v>17</v>
      </c>
      <c r="C24" t="s">
        <v>25</v>
      </c>
      <c r="D24" t="s">
        <v>40</v>
      </c>
      <c r="E24">
        <v>1802</v>
      </c>
      <c r="F24">
        <v>10</v>
      </c>
      <c r="G24">
        <v>20</v>
      </c>
      <c r="H24">
        <v>36040</v>
      </c>
      <c r="I24">
        <v>1802</v>
      </c>
      <c r="J24">
        <v>34238</v>
      </c>
      <c r="K24">
        <v>18020</v>
      </c>
      <c r="L24">
        <v>16218</v>
      </c>
      <c r="M24" s="2">
        <v>41609</v>
      </c>
      <c r="N24">
        <v>12</v>
      </c>
      <c r="O24" t="s">
        <v>27</v>
      </c>
      <c r="P24">
        <v>2013</v>
      </c>
    </row>
    <row r="25" spans="1:16" x14ac:dyDescent="0.2">
      <c r="A25" t="s">
        <v>16</v>
      </c>
      <c r="B25" t="s">
        <v>32</v>
      </c>
      <c r="C25" t="s">
        <v>25</v>
      </c>
      <c r="D25" t="s">
        <v>40</v>
      </c>
      <c r="E25">
        <v>2663</v>
      </c>
      <c r="F25">
        <v>10</v>
      </c>
      <c r="G25">
        <v>20</v>
      </c>
      <c r="H25">
        <v>53260</v>
      </c>
      <c r="I25">
        <v>2663</v>
      </c>
      <c r="J25">
        <v>50597</v>
      </c>
      <c r="K25">
        <v>26630</v>
      </c>
      <c r="L25">
        <v>23967</v>
      </c>
      <c r="M25" s="2">
        <v>41974</v>
      </c>
      <c r="N25">
        <v>12</v>
      </c>
      <c r="O25" t="s">
        <v>27</v>
      </c>
      <c r="P25">
        <v>2014</v>
      </c>
    </row>
    <row r="26" spans="1:16" x14ac:dyDescent="0.2">
      <c r="A26" t="s">
        <v>16</v>
      </c>
      <c r="B26" t="s">
        <v>32</v>
      </c>
      <c r="C26" t="s">
        <v>34</v>
      </c>
      <c r="D26" t="s">
        <v>40</v>
      </c>
      <c r="E26">
        <v>2832</v>
      </c>
      <c r="F26">
        <v>120</v>
      </c>
      <c r="G26">
        <v>20</v>
      </c>
      <c r="H26">
        <v>56640</v>
      </c>
      <c r="I26">
        <v>2832</v>
      </c>
      <c r="J26">
        <v>53808</v>
      </c>
      <c r="K26">
        <v>28320</v>
      </c>
      <c r="L26">
        <v>25488</v>
      </c>
      <c r="M26" s="2">
        <v>41852</v>
      </c>
      <c r="N26">
        <v>8</v>
      </c>
      <c r="O26" t="s">
        <v>41</v>
      </c>
      <c r="P26">
        <v>2014</v>
      </c>
    </row>
    <row r="27" spans="1:16" x14ac:dyDescent="0.2">
      <c r="A27" t="s">
        <v>16</v>
      </c>
      <c r="B27" t="s">
        <v>22</v>
      </c>
      <c r="C27" t="s">
        <v>34</v>
      </c>
      <c r="D27" t="s">
        <v>40</v>
      </c>
      <c r="E27">
        <v>1579</v>
      </c>
      <c r="F27">
        <v>120</v>
      </c>
      <c r="G27">
        <v>20</v>
      </c>
      <c r="H27">
        <v>31580</v>
      </c>
      <c r="I27">
        <v>1579</v>
      </c>
      <c r="J27">
        <v>30001</v>
      </c>
      <c r="K27">
        <v>15790</v>
      </c>
      <c r="L27">
        <v>14211</v>
      </c>
      <c r="M27" s="2">
        <v>41852</v>
      </c>
      <c r="N27">
        <v>8</v>
      </c>
      <c r="O27" t="s">
        <v>41</v>
      </c>
      <c r="P27">
        <v>2014</v>
      </c>
    </row>
    <row r="28" spans="1:16" x14ac:dyDescent="0.2">
      <c r="A28" t="s">
        <v>16</v>
      </c>
      <c r="B28" t="s">
        <v>22</v>
      </c>
      <c r="C28" t="s">
        <v>34</v>
      </c>
      <c r="D28" t="s">
        <v>40</v>
      </c>
      <c r="E28">
        <v>1033</v>
      </c>
      <c r="F28">
        <v>120</v>
      </c>
      <c r="G28">
        <v>20</v>
      </c>
      <c r="H28">
        <v>20660</v>
      </c>
      <c r="I28">
        <v>1033</v>
      </c>
      <c r="J28">
        <v>19627</v>
      </c>
      <c r="K28">
        <v>10330</v>
      </c>
      <c r="L28">
        <v>9297</v>
      </c>
      <c r="M28" s="2">
        <v>41609</v>
      </c>
      <c r="N28">
        <v>12</v>
      </c>
      <c r="O28" t="s">
        <v>27</v>
      </c>
      <c r="P28">
        <v>2013</v>
      </c>
    </row>
    <row r="29" spans="1:16" x14ac:dyDescent="0.2">
      <c r="A29" t="s">
        <v>16</v>
      </c>
      <c r="B29" t="s">
        <v>17</v>
      </c>
      <c r="C29" t="s">
        <v>28</v>
      </c>
      <c r="D29" t="s">
        <v>40</v>
      </c>
      <c r="E29">
        <v>1389</v>
      </c>
      <c r="F29">
        <v>250</v>
      </c>
      <c r="G29">
        <v>20</v>
      </c>
      <c r="H29">
        <v>27780</v>
      </c>
      <c r="I29">
        <v>1389</v>
      </c>
      <c r="J29">
        <v>26391</v>
      </c>
      <c r="K29">
        <v>13890</v>
      </c>
      <c r="L29">
        <v>12501</v>
      </c>
      <c r="M29" s="2">
        <v>41548</v>
      </c>
      <c r="N29">
        <v>10</v>
      </c>
      <c r="O29" t="s">
        <v>33</v>
      </c>
      <c r="P29">
        <v>2013</v>
      </c>
    </row>
    <row r="30" spans="1:16" x14ac:dyDescent="0.2">
      <c r="A30" t="s">
        <v>16</v>
      </c>
      <c r="B30" t="s">
        <v>32</v>
      </c>
      <c r="C30" t="s">
        <v>28</v>
      </c>
      <c r="D30" t="s">
        <v>40</v>
      </c>
      <c r="E30">
        <v>1265</v>
      </c>
      <c r="F30">
        <v>250</v>
      </c>
      <c r="G30">
        <v>20</v>
      </c>
      <c r="H30">
        <v>25300</v>
      </c>
      <c r="I30">
        <v>1265</v>
      </c>
      <c r="J30">
        <v>24035</v>
      </c>
      <c r="K30">
        <v>12650</v>
      </c>
      <c r="L30">
        <v>11385</v>
      </c>
      <c r="M30" s="2">
        <v>41579</v>
      </c>
      <c r="N30">
        <v>11</v>
      </c>
      <c r="O30" t="s">
        <v>36</v>
      </c>
      <c r="P30">
        <v>2013</v>
      </c>
    </row>
    <row r="31" spans="1:16" x14ac:dyDescent="0.2">
      <c r="A31" t="s">
        <v>16</v>
      </c>
      <c r="B31" t="s">
        <v>21</v>
      </c>
      <c r="C31" t="s">
        <v>28</v>
      </c>
      <c r="D31" t="s">
        <v>40</v>
      </c>
      <c r="E31">
        <v>2297</v>
      </c>
      <c r="F31">
        <v>250</v>
      </c>
      <c r="G31">
        <v>20</v>
      </c>
      <c r="H31">
        <v>45940</v>
      </c>
      <c r="I31">
        <v>2297</v>
      </c>
      <c r="J31">
        <v>43643</v>
      </c>
      <c r="K31">
        <v>22970</v>
      </c>
      <c r="L31">
        <v>20673</v>
      </c>
      <c r="M31" s="2">
        <v>41579</v>
      </c>
      <c r="N31">
        <v>11</v>
      </c>
      <c r="O31" t="s">
        <v>36</v>
      </c>
      <c r="P31">
        <v>2013</v>
      </c>
    </row>
    <row r="32" spans="1:16" x14ac:dyDescent="0.2">
      <c r="A32" t="s">
        <v>16</v>
      </c>
      <c r="B32" t="s">
        <v>32</v>
      </c>
      <c r="C32" t="s">
        <v>28</v>
      </c>
      <c r="D32" t="s">
        <v>40</v>
      </c>
      <c r="E32">
        <v>2663</v>
      </c>
      <c r="F32">
        <v>250</v>
      </c>
      <c r="G32">
        <v>20</v>
      </c>
      <c r="H32">
        <v>53260</v>
      </c>
      <c r="I32">
        <v>2663</v>
      </c>
      <c r="J32">
        <v>50597</v>
      </c>
      <c r="K32">
        <v>26630</v>
      </c>
      <c r="L32">
        <v>23967</v>
      </c>
      <c r="M32" s="2">
        <v>41974</v>
      </c>
      <c r="N32">
        <v>12</v>
      </c>
      <c r="O32" t="s">
        <v>27</v>
      </c>
      <c r="P32">
        <v>2014</v>
      </c>
    </row>
    <row r="33" spans="1:16" x14ac:dyDescent="0.2">
      <c r="A33" t="s">
        <v>16</v>
      </c>
      <c r="B33" t="s">
        <v>32</v>
      </c>
      <c r="C33" t="s">
        <v>18</v>
      </c>
      <c r="D33" t="s">
        <v>40</v>
      </c>
      <c r="E33">
        <v>1117.5</v>
      </c>
      <c r="F33">
        <v>3</v>
      </c>
      <c r="G33">
        <v>20</v>
      </c>
      <c r="H33">
        <v>22350</v>
      </c>
      <c r="I33">
        <v>1341</v>
      </c>
      <c r="J33">
        <v>21009</v>
      </c>
      <c r="K33">
        <v>11175</v>
      </c>
      <c r="L33">
        <v>9834</v>
      </c>
      <c r="M33" s="2">
        <v>41640</v>
      </c>
      <c r="N33">
        <v>1</v>
      </c>
      <c r="O33" t="s">
        <v>20</v>
      </c>
      <c r="P33">
        <v>2014</v>
      </c>
    </row>
    <row r="34" spans="1:16" x14ac:dyDescent="0.2">
      <c r="A34" t="s">
        <v>16</v>
      </c>
      <c r="B34" t="s">
        <v>35</v>
      </c>
      <c r="C34" t="s">
        <v>28</v>
      </c>
      <c r="D34" t="s">
        <v>40</v>
      </c>
      <c r="E34">
        <v>1123</v>
      </c>
      <c r="F34">
        <v>250</v>
      </c>
      <c r="G34">
        <v>20</v>
      </c>
      <c r="H34">
        <v>22460</v>
      </c>
      <c r="I34">
        <v>1347.6</v>
      </c>
      <c r="J34">
        <v>21112.400000000001</v>
      </c>
      <c r="K34">
        <v>11230</v>
      </c>
      <c r="L34">
        <v>9882.4</v>
      </c>
      <c r="M34" s="2">
        <v>41579</v>
      </c>
      <c r="N34">
        <v>11</v>
      </c>
      <c r="O34" t="s">
        <v>36</v>
      </c>
      <c r="P34">
        <v>2013</v>
      </c>
    </row>
    <row r="35" spans="1:16" x14ac:dyDescent="0.2">
      <c r="A35" t="s">
        <v>16</v>
      </c>
      <c r="B35" t="s">
        <v>22</v>
      </c>
      <c r="C35" t="s">
        <v>23</v>
      </c>
      <c r="D35" t="s">
        <v>40</v>
      </c>
      <c r="E35">
        <v>1757</v>
      </c>
      <c r="F35">
        <v>5</v>
      </c>
      <c r="G35">
        <v>20</v>
      </c>
      <c r="H35">
        <v>35140</v>
      </c>
      <c r="I35">
        <v>2108.4</v>
      </c>
      <c r="J35">
        <v>33031.599999999999</v>
      </c>
      <c r="K35">
        <v>17570</v>
      </c>
      <c r="L35">
        <v>15461.6</v>
      </c>
      <c r="M35" s="2">
        <v>41548</v>
      </c>
      <c r="N35">
        <v>10</v>
      </c>
      <c r="O35" t="s">
        <v>33</v>
      </c>
      <c r="P35">
        <v>2013</v>
      </c>
    </row>
    <row r="36" spans="1:16" x14ac:dyDescent="0.2">
      <c r="A36" t="s">
        <v>16</v>
      </c>
      <c r="B36" t="s">
        <v>22</v>
      </c>
      <c r="C36" t="s">
        <v>25</v>
      </c>
      <c r="D36" t="s">
        <v>40</v>
      </c>
      <c r="E36">
        <v>1757</v>
      </c>
      <c r="F36">
        <v>10</v>
      </c>
      <c r="G36">
        <v>20</v>
      </c>
      <c r="H36">
        <v>35140</v>
      </c>
      <c r="I36">
        <v>2108.4</v>
      </c>
      <c r="J36">
        <v>33031.599999999999</v>
      </c>
      <c r="K36">
        <v>17570</v>
      </c>
      <c r="L36">
        <v>15461.6</v>
      </c>
      <c r="M36" s="2">
        <v>41548</v>
      </c>
      <c r="N36">
        <v>10</v>
      </c>
      <c r="O36" t="s">
        <v>33</v>
      </c>
      <c r="P36">
        <v>2013</v>
      </c>
    </row>
    <row r="37" spans="1:16" x14ac:dyDescent="0.2">
      <c r="A37" t="s">
        <v>16</v>
      </c>
      <c r="B37" t="s">
        <v>21</v>
      </c>
      <c r="C37" t="s">
        <v>34</v>
      </c>
      <c r="D37" t="s">
        <v>40</v>
      </c>
      <c r="E37">
        <v>1001</v>
      </c>
      <c r="F37">
        <v>120</v>
      </c>
      <c r="G37">
        <v>20</v>
      </c>
      <c r="H37">
        <v>20020</v>
      </c>
      <c r="I37">
        <v>1201.2</v>
      </c>
      <c r="J37">
        <v>18818.8</v>
      </c>
      <c r="K37">
        <v>10010</v>
      </c>
      <c r="L37">
        <v>8808.7999999999993</v>
      </c>
      <c r="M37" s="2">
        <v>41852</v>
      </c>
      <c r="N37">
        <v>8</v>
      </c>
      <c r="O37" t="s">
        <v>41</v>
      </c>
      <c r="P37">
        <v>2014</v>
      </c>
    </row>
    <row r="38" spans="1:16" x14ac:dyDescent="0.2">
      <c r="A38" t="s">
        <v>16</v>
      </c>
      <c r="B38" t="s">
        <v>35</v>
      </c>
      <c r="C38" t="s">
        <v>18</v>
      </c>
      <c r="D38" t="s">
        <v>40</v>
      </c>
      <c r="E38">
        <v>1834</v>
      </c>
      <c r="F38">
        <v>3</v>
      </c>
      <c r="G38">
        <v>20</v>
      </c>
      <c r="H38">
        <v>36680</v>
      </c>
      <c r="I38">
        <v>2567.6</v>
      </c>
      <c r="J38">
        <v>34112.400000000001</v>
      </c>
      <c r="K38">
        <v>18340</v>
      </c>
      <c r="L38">
        <v>15772.4</v>
      </c>
      <c r="M38" s="2">
        <v>41518</v>
      </c>
      <c r="N38">
        <v>9</v>
      </c>
      <c r="O38" t="s">
        <v>39</v>
      </c>
      <c r="P38">
        <v>2013</v>
      </c>
    </row>
    <row r="39" spans="1:16" x14ac:dyDescent="0.2">
      <c r="A39" t="s">
        <v>16</v>
      </c>
      <c r="B39" t="s">
        <v>22</v>
      </c>
      <c r="C39" t="s">
        <v>23</v>
      </c>
      <c r="D39" t="s">
        <v>40</v>
      </c>
      <c r="E39">
        <v>1976</v>
      </c>
      <c r="F39">
        <v>5</v>
      </c>
      <c r="G39">
        <v>20</v>
      </c>
      <c r="H39">
        <v>39520</v>
      </c>
      <c r="I39">
        <v>2766.4</v>
      </c>
      <c r="J39">
        <v>36753.599999999999</v>
      </c>
      <c r="K39">
        <v>19760</v>
      </c>
      <c r="L39">
        <v>16993.599999999999</v>
      </c>
      <c r="M39" s="2">
        <v>41913</v>
      </c>
      <c r="N39">
        <v>10</v>
      </c>
      <c r="O39" t="s">
        <v>33</v>
      </c>
      <c r="P39">
        <v>2014</v>
      </c>
    </row>
    <row r="40" spans="1:16" x14ac:dyDescent="0.2">
      <c r="A40" t="s">
        <v>16</v>
      </c>
      <c r="B40" t="s">
        <v>22</v>
      </c>
      <c r="C40" t="s">
        <v>25</v>
      </c>
      <c r="D40" t="s">
        <v>40</v>
      </c>
      <c r="E40">
        <v>1535</v>
      </c>
      <c r="F40">
        <v>10</v>
      </c>
      <c r="G40">
        <v>20</v>
      </c>
      <c r="H40">
        <v>30700</v>
      </c>
      <c r="I40">
        <v>2149</v>
      </c>
      <c r="J40">
        <v>28551</v>
      </c>
      <c r="K40">
        <v>15350</v>
      </c>
      <c r="L40">
        <v>13201</v>
      </c>
      <c r="M40" s="2">
        <v>41883</v>
      </c>
      <c r="N40">
        <v>9</v>
      </c>
      <c r="O40" t="s">
        <v>39</v>
      </c>
      <c r="P40">
        <v>2014</v>
      </c>
    </row>
    <row r="41" spans="1:16" x14ac:dyDescent="0.2">
      <c r="A41" t="s">
        <v>16</v>
      </c>
      <c r="B41" t="s">
        <v>35</v>
      </c>
      <c r="C41" t="s">
        <v>34</v>
      </c>
      <c r="D41" t="s">
        <v>40</v>
      </c>
      <c r="E41">
        <v>609</v>
      </c>
      <c r="F41">
        <v>120</v>
      </c>
      <c r="G41">
        <v>20</v>
      </c>
      <c r="H41">
        <v>12180</v>
      </c>
      <c r="I41">
        <v>852.6</v>
      </c>
      <c r="J41">
        <v>11327.4</v>
      </c>
      <c r="K41">
        <v>6090</v>
      </c>
      <c r="L41">
        <v>5237.3999999999996</v>
      </c>
      <c r="M41" s="2">
        <v>41852</v>
      </c>
      <c r="N41">
        <v>8</v>
      </c>
      <c r="O41" t="s">
        <v>41</v>
      </c>
      <c r="P41">
        <v>2014</v>
      </c>
    </row>
    <row r="42" spans="1:16" x14ac:dyDescent="0.2">
      <c r="A42" t="s">
        <v>16</v>
      </c>
      <c r="B42" t="s">
        <v>22</v>
      </c>
      <c r="C42" t="s">
        <v>34</v>
      </c>
      <c r="D42" t="s">
        <v>40</v>
      </c>
      <c r="E42">
        <v>1976</v>
      </c>
      <c r="F42">
        <v>120</v>
      </c>
      <c r="G42">
        <v>20</v>
      </c>
      <c r="H42">
        <v>39520</v>
      </c>
      <c r="I42">
        <v>2766.4</v>
      </c>
      <c r="J42">
        <v>36753.599999999999</v>
      </c>
      <c r="K42">
        <v>19760</v>
      </c>
      <c r="L42">
        <v>16993.599999999999</v>
      </c>
      <c r="M42" s="2">
        <v>41913</v>
      </c>
      <c r="N42">
        <v>10</v>
      </c>
      <c r="O42" t="s">
        <v>33</v>
      </c>
      <c r="P42">
        <v>2014</v>
      </c>
    </row>
    <row r="43" spans="1:16" x14ac:dyDescent="0.2">
      <c r="A43" t="s">
        <v>16</v>
      </c>
      <c r="B43" t="s">
        <v>32</v>
      </c>
      <c r="C43" t="s">
        <v>34</v>
      </c>
      <c r="D43" t="s">
        <v>40</v>
      </c>
      <c r="E43">
        <v>1421</v>
      </c>
      <c r="F43">
        <v>120</v>
      </c>
      <c r="G43">
        <v>20</v>
      </c>
      <c r="H43">
        <v>28420</v>
      </c>
      <c r="I43">
        <v>1989.4</v>
      </c>
      <c r="J43">
        <v>26430.6</v>
      </c>
      <c r="K43">
        <v>14210</v>
      </c>
      <c r="L43">
        <v>12220.6</v>
      </c>
      <c r="M43" s="2">
        <v>41609</v>
      </c>
      <c r="N43">
        <v>12</v>
      </c>
      <c r="O43" t="s">
        <v>27</v>
      </c>
      <c r="P43">
        <v>2013</v>
      </c>
    </row>
    <row r="44" spans="1:16" x14ac:dyDescent="0.2">
      <c r="A44" t="s">
        <v>16</v>
      </c>
      <c r="B44" t="s">
        <v>21</v>
      </c>
      <c r="C44" t="s">
        <v>34</v>
      </c>
      <c r="D44" t="s">
        <v>40</v>
      </c>
      <c r="E44">
        <v>588</v>
      </c>
      <c r="F44">
        <v>120</v>
      </c>
      <c r="G44">
        <v>20</v>
      </c>
      <c r="H44">
        <v>11760</v>
      </c>
      <c r="I44">
        <v>823.2</v>
      </c>
      <c r="J44">
        <v>10936.8</v>
      </c>
      <c r="K44">
        <v>5880</v>
      </c>
      <c r="L44">
        <v>5056.8</v>
      </c>
      <c r="M44" s="2">
        <v>41609</v>
      </c>
      <c r="N44">
        <v>12</v>
      </c>
      <c r="O44" t="s">
        <v>27</v>
      </c>
      <c r="P44">
        <v>2013</v>
      </c>
    </row>
    <row r="45" spans="1:16" x14ac:dyDescent="0.2">
      <c r="A45" t="s">
        <v>16</v>
      </c>
      <c r="B45" t="s">
        <v>17</v>
      </c>
      <c r="C45" t="s">
        <v>29</v>
      </c>
      <c r="D45" t="s">
        <v>40</v>
      </c>
      <c r="E45">
        <v>1118</v>
      </c>
      <c r="F45">
        <v>260</v>
      </c>
      <c r="G45">
        <v>20</v>
      </c>
      <c r="H45">
        <v>22360</v>
      </c>
      <c r="I45">
        <v>1565.2</v>
      </c>
      <c r="J45">
        <v>20794.8</v>
      </c>
      <c r="K45">
        <v>11180</v>
      </c>
      <c r="L45">
        <v>9614.7999999999993</v>
      </c>
      <c r="M45" s="2">
        <v>41944</v>
      </c>
      <c r="N45">
        <v>11</v>
      </c>
      <c r="O45" t="s">
        <v>36</v>
      </c>
      <c r="P45">
        <v>2014</v>
      </c>
    </row>
    <row r="46" spans="1:16" x14ac:dyDescent="0.2">
      <c r="A46" t="s">
        <v>16</v>
      </c>
      <c r="B46" t="s">
        <v>32</v>
      </c>
      <c r="C46" t="s">
        <v>23</v>
      </c>
      <c r="D46" t="s">
        <v>40</v>
      </c>
      <c r="E46">
        <v>1282</v>
      </c>
      <c r="F46">
        <v>5</v>
      </c>
      <c r="G46">
        <v>20</v>
      </c>
      <c r="H46">
        <v>25640</v>
      </c>
      <c r="I46">
        <v>2051.1999999999998</v>
      </c>
      <c r="J46">
        <v>23588.799999999999</v>
      </c>
      <c r="K46">
        <v>12820</v>
      </c>
      <c r="L46">
        <v>10768.8</v>
      </c>
      <c r="M46" s="2">
        <v>41791</v>
      </c>
      <c r="N46">
        <v>6</v>
      </c>
      <c r="O46" t="s">
        <v>24</v>
      </c>
      <c r="P46">
        <v>2014</v>
      </c>
    </row>
    <row r="47" spans="1:16" x14ac:dyDescent="0.2">
      <c r="A47" t="s">
        <v>16</v>
      </c>
      <c r="B47" t="s">
        <v>32</v>
      </c>
      <c r="C47" t="s">
        <v>29</v>
      </c>
      <c r="D47" t="s">
        <v>40</v>
      </c>
      <c r="E47">
        <v>1282</v>
      </c>
      <c r="F47">
        <v>260</v>
      </c>
      <c r="G47">
        <v>20</v>
      </c>
      <c r="H47">
        <v>25640</v>
      </c>
      <c r="I47">
        <v>2051.1999999999998</v>
      </c>
      <c r="J47">
        <v>23588.799999999999</v>
      </c>
      <c r="K47">
        <v>12820</v>
      </c>
      <c r="L47">
        <v>10768.8</v>
      </c>
      <c r="M47" s="2">
        <v>41791</v>
      </c>
      <c r="N47">
        <v>6</v>
      </c>
      <c r="O47" t="s">
        <v>24</v>
      </c>
      <c r="P47">
        <v>2014</v>
      </c>
    </row>
    <row r="48" spans="1:16" x14ac:dyDescent="0.2">
      <c r="A48" t="s">
        <v>16</v>
      </c>
      <c r="B48" t="s">
        <v>17</v>
      </c>
      <c r="C48" t="s">
        <v>23</v>
      </c>
      <c r="D48" t="s">
        <v>40</v>
      </c>
      <c r="E48">
        <v>708</v>
      </c>
      <c r="F48">
        <v>5</v>
      </c>
      <c r="G48">
        <v>20</v>
      </c>
      <c r="H48">
        <v>14160</v>
      </c>
      <c r="I48">
        <v>1132.8</v>
      </c>
      <c r="J48">
        <v>13027.2</v>
      </c>
      <c r="K48">
        <v>7080</v>
      </c>
      <c r="L48">
        <v>5947.2</v>
      </c>
      <c r="M48" s="2">
        <v>41791</v>
      </c>
      <c r="N48">
        <v>6</v>
      </c>
      <c r="O48" t="s">
        <v>24</v>
      </c>
      <c r="P48">
        <v>2014</v>
      </c>
    </row>
    <row r="49" spans="1:16" x14ac:dyDescent="0.2">
      <c r="A49" t="s">
        <v>16</v>
      </c>
      <c r="B49" t="s">
        <v>21</v>
      </c>
      <c r="C49" t="s">
        <v>23</v>
      </c>
      <c r="D49" t="s">
        <v>40</v>
      </c>
      <c r="E49">
        <v>645</v>
      </c>
      <c r="F49">
        <v>5</v>
      </c>
      <c r="G49">
        <v>20</v>
      </c>
      <c r="H49">
        <v>12900</v>
      </c>
      <c r="I49">
        <v>1032</v>
      </c>
      <c r="J49">
        <v>11868</v>
      </c>
      <c r="K49">
        <v>6450</v>
      </c>
      <c r="L49">
        <v>5418</v>
      </c>
      <c r="M49" s="2">
        <v>41821</v>
      </c>
      <c r="N49">
        <v>7</v>
      </c>
      <c r="O49" t="s">
        <v>31</v>
      </c>
      <c r="P49">
        <v>2014</v>
      </c>
    </row>
    <row r="50" spans="1:16" x14ac:dyDescent="0.2">
      <c r="A50" t="s">
        <v>16</v>
      </c>
      <c r="B50" t="s">
        <v>21</v>
      </c>
      <c r="C50" t="s">
        <v>25</v>
      </c>
      <c r="D50" t="s">
        <v>40</v>
      </c>
      <c r="E50">
        <v>1366</v>
      </c>
      <c r="F50">
        <v>10</v>
      </c>
      <c r="G50">
        <v>20</v>
      </c>
      <c r="H50">
        <v>27320</v>
      </c>
      <c r="I50">
        <v>2185.6</v>
      </c>
      <c r="J50">
        <v>25134.400000000001</v>
      </c>
      <c r="K50">
        <v>13660</v>
      </c>
      <c r="L50">
        <v>11474.4</v>
      </c>
      <c r="M50" s="2">
        <v>41791</v>
      </c>
      <c r="N50">
        <v>6</v>
      </c>
      <c r="O50" t="s">
        <v>24</v>
      </c>
      <c r="P50">
        <v>2014</v>
      </c>
    </row>
    <row r="51" spans="1:16" x14ac:dyDescent="0.2">
      <c r="A51" t="s">
        <v>16</v>
      </c>
      <c r="B51" t="s">
        <v>21</v>
      </c>
      <c r="C51" t="s">
        <v>25</v>
      </c>
      <c r="D51" t="s">
        <v>40</v>
      </c>
      <c r="E51">
        <v>1934</v>
      </c>
      <c r="F51">
        <v>10</v>
      </c>
      <c r="G51">
        <v>20</v>
      </c>
      <c r="H51">
        <v>38680</v>
      </c>
      <c r="I51">
        <v>3094.4</v>
      </c>
      <c r="J51">
        <v>35585.599999999999</v>
      </c>
      <c r="K51">
        <v>19340</v>
      </c>
      <c r="L51">
        <v>16245.6</v>
      </c>
      <c r="M51" s="2">
        <v>41883</v>
      </c>
      <c r="N51">
        <v>9</v>
      </c>
      <c r="O51" t="s">
        <v>39</v>
      </c>
      <c r="P51">
        <v>2014</v>
      </c>
    </row>
    <row r="52" spans="1:16" x14ac:dyDescent="0.2">
      <c r="A52" t="s">
        <v>16</v>
      </c>
      <c r="B52" t="s">
        <v>35</v>
      </c>
      <c r="C52" t="s">
        <v>25</v>
      </c>
      <c r="D52" t="s">
        <v>40</v>
      </c>
      <c r="E52">
        <v>2993</v>
      </c>
      <c r="F52">
        <v>10</v>
      </c>
      <c r="G52">
        <v>20</v>
      </c>
      <c r="H52">
        <v>59860</v>
      </c>
      <c r="I52">
        <v>4788.8</v>
      </c>
      <c r="J52">
        <v>55071.199999999997</v>
      </c>
      <c r="K52">
        <v>29930</v>
      </c>
      <c r="L52">
        <v>25141.200000000001</v>
      </c>
      <c r="M52" s="2">
        <v>41883</v>
      </c>
      <c r="N52">
        <v>9</v>
      </c>
      <c r="O52" t="s">
        <v>39</v>
      </c>
      <c r="P52">
        <v>2014</v>
      </c>
    </row>
    <row r="53" spans="1:16" x14ac:dyDescent="0.2">
      <c r="A53" t="s">
        <v>16</v>
      </c>
      <c r="B53" t="s">
        <v>17</v>
      </c>
      <c r="C53" t="s">
        <v>29</v>
      </c>
      <c r="D53" t="s">
        <v>40</v>
      </c>
      <c r="E53">
        <v>708</v>
      </c>
      <c r="F53">
        <v>260</v>
      </c>
      <c r="G53">
        <v>20</v>
      </c>
      <c r="H53">
        <v>14160</v>
      </c>
      <c r="I53">
        <v>1132.8</v>
      </c>
      <c r="J53">
        <v>13027.2</v>
      </c>
      <c r="K53">
        <v>7080</v>
      </c>
      <c r="L53">
        <v>5947.2</v>
      </c>
      <c r="M53" s="2">
        <v>41791</v>
      </c>
      <c r="N53">
        <v>6</v>
      </c>
      <c r="O53" t="s">
        <v>24</v>
      </c>
      <c r="P53">
        <v>2014</v>
      </c>
    </row>
    <row r="54" spans="1:16" x14ac:dyDescent="0.2">
      <c r="A54" t="s">
        <v>16</v>
      </c>
      <c r="B54" t="s">
        <v>21</v>
      </c>
      <c r="C54" t="s">
        <v>29</v>
      </c>
      <c r="D54" t="s">
        <v>40</v>
      </c>
      <c r="E54">
        <v>1366</v>
      </c>
      <c r="F54">
        <v>260</v>
      </c>
      <c r="G54">
        <v>20</v>
      </c>
      <c r="H54">
        <v>27320</v>
      </c>
      <c r="I54">
        <v>2185.6</v>
      </c>
      <c r="J54">
        <v>25134.400000000001</v>
      </c>
      <c r="K54">
        <v>13660</v>
      </c>
      <c r="L54">
        <v>11474.4</v>
      </c>
      <c r="M54" s="2">
        <v>41791</v>
      </c>
      <c r="N54">
        <v>6</v>
      </c>
      <c r="O54" t="s">
        <v>24</v>
      </c>
      <c r="P54">
        <v>2014</v>
      </c>
    </row>
    <row r="55" spans="1:16" x14ac:dyDescent="0.2">
      <c r="A55" t="s">
        <v>16</v>
      </c>
      <c r="B55" t="s">
        <v>21</v>
      </c>
      <c r="C55" t="s">
        <v>29</v>
      </c>
      <c r="D55" t="s">
        <v>40</v>
      </c>
      <c r="E55">
        <v>1520</v>
      </c>
      <c r="F55">
        <v>260</v>
      </c>
      <c r="G55">
        <v>20</v>
      </c>
      <c r="H55">
        <v>30400</v>
      </c>
      <c r="I55">
        <v>2432</v>
      </c>
      <c r="J55">
        <v>27968</v>
      </c>
      <c r="K55">
        <v>15200</v>
      </c>
      <c r="L55">
        <v>12768</v>
      </c>
      <c r="M55" s="2">
        <v>41944</v>
      </c>
      <c r="N55">
        <v>11</v>
      </c>
      <c r="O55" t="s">
        <v>36</v>
      </c>
      <c r="P55">
        <v>2014</v>
      </c>
    </row>
    <row r="56" spans="1:16" x14ac:dyDescent="0.2">
      <c r="A56" t="s">
        <v>16</v>
      </c>
      <c r="B56" t="s">
        <v>32</v>
      </c>
      <c r="C56" t="s">
        <v>28</v>
      </c>
      <c r="D56" t="s">
        <v>40</v>
      </c>
      <c r="E56">
        <v>436.5</v>
      </c>
      <c r="F56">
        <v>250</v>
      </c>
      <c r="G56">
        <v>20</v>
      </c>
      <c r="H56">
        <v>8730</v>
      </c>
      <c r="I56">
        <v>698.4</v>
      </c>
      <c r="J56">
        <v>8031.6</v>
      </c>
      <c r="K56">
        <v>4365</v>
      </c>
      <c r="L56">
        <v>3666.6</v>
      </c>
      <c r="M56" s="2">
        <v>41821</v>
      </c>
      <c r="N56">
        <v>7</v>
      </c>
      <c r="O56" t="s">
        <v>31</v>
      </c>
      <c r="P56">
        <v>2014</v>
      </c>
    </row>
    <row r="57" spans="1:16" x14ac:dyDescent="0.2">
      <c r="A57" t="s">
        <v>16</v>
      </c>
      <c r="B57" t="s">
        <v>35</v>
      </c>
      <c r="C57" t="s">
        <v>29</v>
      </c>
      <c r="D57" t="s">
        <v>40</v>
      </c>
      <c r="E57">
        <v>1694</v>
      </c>
      <c r="F57">
        <v>260</v>
      </c>
      <c r="G57">
        <v>20</v>
      </c>
      <c r="H57">
        <v>33880</v>
      </c>
      <c r="I57">
        <v>3049.2</v>
      </c>
      <c r="J57">
        <v>30830.799999999999</v>
      </c>
      <c r="K57">
        <v>16940</v>
      </c>
      <c r="L57">
        <v>13890.8</v>
      </c>
      <c r="M57" s="2">
        <v>41944</v>
      </c>
      <c r="N57">
        <v>11</v>
      </c>
      <c r="O57" t="s">
        <v>36</v>
      </c>
      <c r="P57">
        <v>2014</v>
      </c>
    </row>
    <row r="58" spans="1:16" x14ac:dyDescent="0.2">
      <c r="A58" t="s">
        <v>16</v>
      </c>
      <c r="B58" t="s">
        <v>21</v>
      </c>
      <c r="C58" t="s">
        <v>18</v>
      </c>
      <c r="D58" t="s">
        <v>40</v>
      </c>
      <c r="E58">
        <v>663</v>
      </c>
      <c r="F58">
        <v>3</v>
      </c>
      <c r="G58">
        <v>20</v>
      </c>
      <c r="H58">
        <v>13260</v>
      </c>
      <c r="I58">
        <v>1193.4000000000001</v>
      </c>
      <c r="J58">
        <v>12066.6</v>
      </c>
      <c r="K58">
        <v>6630</v>
      </c>
      <c r="L58">
        <v>5436.6</v>
      </c>
      <c r="M58" s="2">
        <v>41760</v>
      </c>
      <c r="N58">
        <v>5</v>
      </c>
      <c r="O58" t="s">
        <v>38</v>
      </c>
      <c r="P58">
        <v>2014</v>
      </c>
    </row>
    <row r="59" spans="1:16" x14ac:dyDescent="0.2">
      <c r="A59" t="s">
        <v>16</v>
      </c>
      <c r="B59" t="s">
        <v>32</v>
      </c>
      <c r="C59" t="s">
        <v>25</v>
      </c>
      <c r="D59" t="s">
        <v>40</v>
      </c>
      <c r="E59">
        <v>973</v>
      </c>
      <c r="F59">
        <v>10</v>
      </c>
      <c r="G59">
        <v>20</v>
      </c>
      <c r="H59">
        <v>19460</v>
      </c>
      <c r="I59">
        <v>1751.4</v>
      </c>
      <c r="J59">
        <v>17708.599999999999</v>
      </c>
      <c r="K59">
        <v>9730</v>
      </c>
      <c r="L59">
        <v>7978.6</v>
      </c>
      <c r="M59" s="2">
        <v>41699</v>
      </c>
      <c r="N59">
        <v>3</v>
      </c>
      <c r="O59" t="s">
        <v>42</v>
      </c>
      <c r="P59">
        <v>2014</v>
      </c>
    </row>
    <row r="60" spans="1:16" x14ac:dyDescent="0.2">
      <c r="A60" t="s">
        <v>16</v>
      </c>
      <c r="B60" t="s">
        <v>35</v>
      </c>
      <c r="C60" t="s">
        <v>25</v>
      </c>
      <c r="D60" t="s">
        <v>40</v>
      </c>
      <c r="E60">
        <v>1038</v>
      </c>
      <c r="F60">
        <v>10</v>
      </c>
      <c r="G60">
        <v>20</v>
      </c>
      <c r="H60">
        <v>20760</v>
      </c>
      <c r="I60">
        <v>1868.4</v>
      </c>
      <c r="J60">
        <v>18891.599999999999</v>
      </c>
      <c r="K60">
        <v>10380</v>
      </c>
      <c r="L60">
        <v>8511.6</v>
      </c>
      <c r="M60" s="2">
        <v>41791</v>
      </c>
      <c r="N60">
        <v>6</v>
      </c>
      <c r="O60" t="s">
        <v>24</v>
      </c>
      <c r="P60">
        <v>2014</v>
      </c>
    </row>
    <row r="61" spans="1:16" x14ac:dyDescent="0.2">
      <c r="A61" t="s">
        <v>16</v>
      </c>
      <c r="B61" t="s">
        <v>22</v>
      </c>
      <c r="C61" t="s">
        <v>28</v>
      </c>
      <c r="D61" t="s">
        <v>40</v>
      </c>
      <c r="E61">
        <v>2682</v>
      </c>
      <c r="F61">
        <v>250</v>
      </c>
      <c r="G61">
        <v>20</v>
      </c>
      <c r="H61">
        <v>53640</v>
      </c>
      <c r="I61">
        <v>4827.6000000000004</v>
      </c>
      <c r="J61">
        <v>48812.4</v>
      </c>
      <c r="K61">
        <v>26820</v>
      </c>
      <c r="L61">
        <v>21992.400000000001</v>
      </c>
      <c r="M61" s="2">
        <v>41579</v>
      </c>
      <c r="N61">
        <v>11</v>
      </c>
      <c r="O61" t="s">
        <v>36</v>
      </c>
      <c r="P61">
        <v>2013</v>
      </c>
    </row>
    <row r="62" spans="1:16" x14ac:dyDescent="0.2">
      <c r="A62" t="s">
        <v>16</v>
      </c>
      <c r="B62" t="s">
        <v>35</v>
      </c>
      <c r="C62" t="s">
        <v>29</v>
      </c>
      <c r="D62" t="s">
        <v>40</v>
      </c>
      <c r="E62">
        <v>1038</v>
      </c>
      <c r="F62">
        <v>260</v>
      </c>
      <c r="G62">
        <v>20</v>
      </c>
      <c r="H62">
        <v>20760</v>
      </c>
      <c r="I62">
        <v>1868.4</v>
      </c>
      <c r="J62">
        <v>18891.599999999999</v>
      </c>
      <c r="K62">
        <v>10380</v>
      </c>
      <c r="L62">
        <v>8511.6</v>
      </c>
      <c r="M62" s="2">
        <v>41791</v>
      </c>
      <c r="N62">
        <v>6</v>
      </c>
      <c r="O62" t="s">
        <v>24</v>
      </c>
      <c r="P62">
        <v>2014</v>
      </c>
    </row>
    <row r="63" spans="1:16" x14ac:dyDescent="0.2">
      <c r="A63" t="s">
        <v>16</v>
      </c>
      <c r="B63" t="s">
        <v>22</v>
      </c>
      <c r="C63" t="s">
        <v>25</v>
      </c>
      <c r="D63" t="s">
        <v>19</v>
      </c>
      <c r="E63">
        <v>1954</v>
      </c>
      <c r="F63">
        <v>10</v>
      </c>
      <c r="G63">
        <v>20</v>
      </c>
      <c r="H63">
        <v>39080</v>
      </c>
      <c r="I63">
        <v>3908</v>
      </c>
      <c r="J63">
        <v>35172</v>
      </c>
      <c r="K63">
        <v>19540</v>
      </c>
      <c r="L63">
        <v>15632</v>
      </c>
      <c r="M63" s="2">
        <v>41699</v>
      </c>
      <c r="N63">
        <v>3</v>
      </c>
      <c r="O63" t="s">
        <v>42</v>
      </c>
      <c r="P63">
        <v>2014</v>
      </c>
    </row>
    <row r="64" spans="1:16" x14ac:dyDescent="0.2">
      <c r="A64" t="s">
        <v>16</v>
      </c>
      <c r="B64" t="s">
        <v>21</v>
      </c>
      <c r="C64" t="s">
        <v>25</v>
      </c>
      <c r="D64" t="s">
        <v>19</v>
      </c>
      <c r="E64">
        <v>241</v>
      </c>
      <c r="F64">
        <v>10</v>
      </c>
      <c r="G64">
        <v>20</v>
      </c>
      <c r="H64">
        <v>4820</v>
      </c>
      <c r="I64">
        <v>482</v>
      </c>
      <c r="J64">
        <v>4338</v>
      </c>
      <c r="K64">
        <v>2410</v>
      </c>
      <c r="L64">
        <v>1928</v>
      </c>
      <c r="M64" s="2">
        <v>41913</v>
      </c>
      <c r="N64">
        <v>10</v>
      </c>
      <c r="O64" t="s">
        <v>33</v>
      </c>
      <c r="P64">
        <v>2014</v>
      </c>
    </row>
    <row r="65" spans="1:16" x14ac:dyDescent="0.2">
      <c r="A65" t="s">
        <v>16</v>
      </c>
      <c r="B65" t="s">
        <v>21</v>
      </c>
      <c r="C65" t="s">
        <v>34</v>
      </c>
      <c r="D65" t="s">
        <v>19</v>
      </c>
      <c r="E65">
        <v>241</v>
      </c>
      <c r="F65">
        <v>120</v>
      </c>
      <c r="G65">
        <v>20</v>
      </c>
      <c r="H65">
        <v>4820</v>
      </c>
      <c r="I65">
        <v>482</v>
      </c>
      <c r="J65">
        <v>4338</v>
      </c>
      <c r="K65">
        <v>2410</v>
      </c>
      <c r="L65">
        <v>1928</v>
      </c>
      <c r="M65" s="2">
        <v>41913</v>
      </c>
      <c r="N65">
        <v>10</v>
      </c>
      <c r="O65" t="s">
        <v>33</v>
      </c>
      <c r="P65">
        <v>2014</v>
      </c>
    </row>
    <row r="66" spans="1:16" x14ac:dyDescent="0.2">
      <c r="A66" t="s">
        <v>16</v>
      </c>
      <c r="B66" t="s">
        <v>35</v>
      </c>
      <c r="C66" t="s">
        <v>29</v>
      </c>
      <c r="D66" t="s">
        <v>19</v>
      </c>
      <c r="E66">
        <v>2039</v>
      </c>
      <c r="F66">
        <v>260</v>
      </c>
      <c r="G66">
        <v>20</v>
      </c>
      <c r="H66">
        <v>40780</v>
      </c>
      <c r="I66">
        <v>4078</v>
      </c>
      <c r="J66">
        <v>36702</v>
      </c>
      <c r="K66">
        <v>20390</v>
      </c>
      <c r="L66">
        <v>16312</v>
      </c>
      <c r="M66" s="2">
        <v>41760</v>
      </c>
      <c r="N66">
        <v>5</v>
      </c>
      <c r="O66" t="s">
        <v>38</v>
      </c>
      <c r="P66">
        <v>2014</v>
      </c>
    </row>
    <row r="67" spans="1:16" x14ac:dyDescent="0.2">
      <c r="A67" t="s">
        <v>16</v>
      </c>
      <c r="B67" t="s">
        <v>21</v>
      </c>
      <c r="C67" t="s">
        <v>23</v>
      </c>
      <c r="D67" t="s">
        <v>19</v>
      </c>
      <c r="E67">
        <v>2992</v>
      </c>
      <c r="F67">
        <v>5</v>
      </c>
      <c r="G67">
        <v>20</v>
      </c>
      <c r="H67">
        <v>59840</v>
      </c>
      <c r="I67">
        <v>6582.4</v>
      </c>
      <c r="J67">
        <v>53257.599999999999</v>
      </c>
      <c r="K67">
        <v>29920</v>
      </c>
      <c r="L67">
        <v>23337.599999999999</v>
      </c>
      <c r="M67" s="2">
        <v>41548</v>
      </c>
      <c r="N67">
        <v>10</v>
      </c>
      <c r="O67" t="s">
        <v>33</v>
      </c>
      <c r="P67">
        <v>2013</v>
      </c>
    </row>
    <row r="68" spans="1:16" x14ac:dyDescent="0.2">
      <c r="A68" t="s">
        <v>16</v>
      </c>
      <c r="B68" t="s">
        <v>35</v>
      </c>
      <c r="C68" t="s">
        <v>25</v>
      </c>
      <c r="D68" t="s">
        <v>19</v>
      </c>
      <c r="E68">
        <v>1122</v>
      </c>
      <c r="F68">
        <v>10</v>
      </c>
      <c r="G68">
        <v>20</v>
      </c>
      <c r="H68">
        <v>22440</v>
      </c>
      <c r="I68">
        <v>2468.4</v>
      </c>
      <c r="J68">
        <v>19971.599999999999</v>
      </c>
      <c r="K68">
        <v>11220</v>
      </c>
      <c r="L68">
        <v>8751.6</v>
      </c>
      <c r="M68" s="2">
        <v>41699</v>
      </c>
      <c r="N68">
        <v>3</v>
      </c>
      <c r="O68" t="s">
        <v>42</v>
      </c>
      <c r="P68">
        <v>2014</v>
      </c>
    </row>
    <row r="69" spans="1:16" x14ac:dyDescent="0.2">
      <c r="A69" t="s">
        <v>16</v>
      </c>
      <c r="B69" t="s">
        <v>17</v>
      </c>
      <c r="C69" t="s">
        <v>25</v>
      </c>
      <c r="D69" t="s">
        <v>19</v>
      </c>
      <c r="E69">
        <v>2394</v>
      </c>
      <c r="F69">
        <v>10</v>
      </c>
      <c r="G69">
        <v>20</v>
      </c>
      <c r="H69">
        <v>47880</v>
      </c>
      <c r="I69">
        <v>5266.8</v>
      </c>
      <c r="J69">
        <v>42613.2</v>
      </c>
      <c r="K69">
        <v>23940</v>
      </c>
      <c r="L69">
        <v>18673.2</v>
      </c>
      <c r="M69" s="2">
        <v>41852</v>
      </c>
      <c r="N69">
        <v>8</v>
      </c>
      <c r="O69" t="s">
        <v>41</v>
      </c>
      <c r="P69">
        <v>2014</v>
      </c>
    </row>
    <row r="70" spans="1:16" x14ac:dyDescent="0.2">
      <c r="A70" t="s">
        <v>16</v>
      </c>
      <c r="B70" t="s">
        <v>21</v>
      </c>
      <c r="C70" t="s">
        <v>25</v>
      </c>
      <c r="D70" t="s">
        <v>19</v>
      </c>
      <c r="E70">
        <v>2992</v>
      </c>
      <c r="F70">
        <v>10</v>
      </c>
      <c r="G70">
        <v>20</v>
      </c>
      <c r="H70">
        <v>59840</v>
      </c>
      <c r="I70">
        <v>6582.4</v>
      </c>
      <c r="J70">
        <v>53257.599999999999</v>
      </c>
      <c r="K70">
        <v>29920</v>
      </c>
      <c r="L70">
        <v>23337.599999999999</v>
      </c>
      <c r="M70" s="2">
        <v>41548</v>
      </c>
      <c r="N70">
        <v>10</v>
      </c>
      <c r="O70" t="s">
        <v>33</v>
      </c>
      <c r="P70">
        <v>2013</v>
      </c>
    </row>
    <row r="71" spans="1:16" x14ac:dyDescent="0.2">
      <c r="A71" t="s">
        <v>16</v>
      </c>
      <c r="B71" t="s">
        <v>22</v>
      </c>
      <c r="C71" t="s">
        <v>34</v>
      </c>
      <c r="D71" t="s">
        <v>19</v>
      </c>
      <c r="E71">
        <v>2805</v>
      </c>
      <c r="F71">
        <v>120</v>
      </c>
      <c r="G71">
        <v>20</v>
      </c>
      <c r="H71">
        <v>56100</v>
      </c>
      <c r="I71">
        <v>6171</v>
      </c>
      <c r="J71">
        <v>49929</v>
      </c>
      <c r="K71">
        <v>28050</v>
      </c>
      <c r="L71">
        <v>21879</v>
      </c>
      <c r="M71" s="2">
        <v>41518</v>
      </c>
      <c r="N71">
        <v>9</v>
      </c>
      <c r="O71" t="s">
        <v>39</v>
      </c>
      <c r="P71">
        <v>2013</v>
      </c>
    </row>
    <row r="72" spans="1:16" x14ac:dyDescent="0.2">
      <c r="A72" t="s">
        <v>16</v>
      </c>
      <c r="B72" t="s">
        <v>17</v>
      </c>
      <c r="C72" t="s">
        <v>28</v>
      </c>
      <c r="D72" t="s">
        <v>19</v>
      </c>
      <c r="E72">
        <v>2935</v>
      </c>
      <c r="F72">
        <v>250</v>
      </c>
      <c r="G72">
        <v>20</v>
      </c>
      <c r="H72">
        <v>58700</v>
      </c>
      <c r="I72">
        <v>6457</v>
      </c>
      <c r="J72">
        <v>52243</v>
      </c>
      <c r="K72">
        <v>29350</v>
      </c>
      <c r="L72">
        <v>22893</v>
      </c>
      <c r="M72" s="2">
        <v>41579</v>
      </c>
      <c r="N72">
        <v>11</v>
      </c>
      <c r="O72" t="s">
        <v>36</v>
      </c>
      <c r="P72">
        <v>2013</v>
      </c>
    </row>
    <row r="73" spans="1:16" x14ac:dyDescent="0.2">
      <c r="A73" t="s">
        <v>16</v>
      </c>
      <c r="B73" t="s">
        <v>35</v>
      </c>
      <c r="C73" t="s">
        <v>29</v>
      </c>
      <c r="D73" t="s">
        <v>19</v>
      </c>
      <c r="E73">
        <v>2629</v>
      </c>
      <c r="F73">
        <v>260</v>
      </c>
      <c r="G73">
        <v>20</v>
      </c>
      <c r="H73">
        <v>52580</v>
      </c>
      <c r="I73">
        <v>5783.8</v>
      </c>
      <c r="J73">
        <v>46796.2</v>
      </c>
      <c r="K73">
        <v>26290</v>
      </c>
      <c r="L73">
        <v>20506.2</v>
      </c>
      <c r="M73" s="2">
        <v>41640</v>
      </c>
      <c r="N73">
        <v>1</v>
      </c>
      <c r="O73" t="s">
        <v>20</v>
      </c>
      <c r="P73">
        <v>2014</v>
      </c>
    </row>
    <row r="74" spans="1:16" x14ac:dyDescent="0.2">
      <c r="A74" t="s">
        <v>16</v>
      </c>
      <c r="B74" t="s">
        <v>35</v>
      </c>
      <c r="C74" t="s">
        <v>23</v>
      </c>
      <c r="D74" t="s">
        <v>19</v>
      </c>
      <c r="E74">
        <v>1715</v>
      </c>
      <c r="F74">
        <v>5</v>
      </c>
      <c r="G74">
        <v>20</v>
      </c>
      <c r="H74">
        <v>34300</v>
      </c>
      <c r="I74">
        <v>4116</v>
      </c>
      <c r="J74">
        <v>30184</v>
      </c>
      <c r="K74">
        <v>17150</v>
      </c>
      <c r="L74">
        <v>13034</v>
      </c>
      <c r="M74" s="2">
        <v>41548</v>
      </c>
      <c r="N74">
        <v>10</v>
      </c>
      <c r="O74" t="s">
        <v>33</v>
      </c>
      <c r="P74">
        <v>2013</v>
      </c>
    </row>
    <row r="75" spans="1:16" x14ac:dyDescent="0.2">
      <c r="A75" t="s">
        <v>16</v>
      </c>
      <c r="B75" t="s">
        <v>35</v>
      </c>
      <c r="C75" t="s">
        <v>25</v>
      </c>
      <c r="D75" t="s">
        <v>19</v>
      </c>
      <c r="E75">
        <v>905</v>
      </c>
      <c r="F75">
        <v>10</v>
      </c>
      <c r="G75">
        <v>20</v>
      </c>
      <c r="H75">
        <v>18100</v>
      </c>
      <c r="I75">
        <v>2172</v>
      </c>
      <c r="J75">
        <v>15928</v>
      </c>
      <c r="K75">
        <v>9050</v>
      </c>
      <c r="L75">
        <v>6878</v>
      </c>
      <c r="M75" s="2">
        <v>41913</v>
      </c>
      <c r="N75">
        <v>10</v>
      </c>
      <c r="O75" t="s">
        <v>33</v>
      </c>
      <c r="P75">
        <v>2014</v>
      </c>
    </row>
    <row r="76" spans="1:16" x14ac:dyDescent="0.2">
      <c r="A76" t="s">
        <v>16</v>
      </c>
      <c r="B76" t="s">
        <v>35</v>
      </c>
      <c r="C76" t="s">
        <v>25</v>
      </c>
      <c r="D76" t="s">
        <v>19</v>
      </c>
      <c r="E76">
        <v>1715</v>
      </c>
      <c r="F76">
        <v>10</v>
      </c>
      <c r="G76">
        <v>20</v>
      </c>
      <c r="H76">
        <v>34300</v>
      </c>
      <c r="I76">
        <v>4116</v>
      </c>
      <c r="J76">
        <v>30184</v>
      </c>
      <c r="K76">
        <v>17150</v>
      </c>
      <c r="L76">
        <v>13034</v>
      </c>
      <c r="M76" s="2">
        <v>41548</v>
      </c>
      <c r="N76">
        <v>10</v>
      </c>
      <c r="O76" t="s">
        <v>33</v>
      </c>
      <c r="P76">
        <v>2013</v>
      </c>
    </row>
    <row r="77" spans="1:16" x14ac:dyDescent="0.2">
      <c r="A77" t="s">
        <v>16</v>
      </c>
      <c r="B77" t="s">
        <v>35</v>
      </c>
      <c r="C77" t="s">
        <v>25</v>
      </c>
      <c r="D77" t="s">
        <v>19</v>
      </c>
      <c r="E77">
        <v>1233</v>
      </c>
      <c r="F77">
        <v>10</v>
      </c>
      <c r="G77">
        <v>20</v>
      </c>
      <c r="H77">
        <v>24660</v>
      </c>
      <c r="I77">
        <v>2959.2</v>
      </c>
      <c r="J77">
        <v>21700.799999999999</v>
      </c>
      <c r="K77">
        <v>12330</v>
      </c>
      <c r="L77">
        <v>9370.7999999999993</v>
      </c>
      <c r="M77" s="2">
        <v>41974</v>
      </c>
      <c r="N77">
        <v>12</v>
      </c>
      <c r="O77" t="s">
        <v>27</v>
      </c>
      <c r="P77">
        <v>2014</v>
      </c>
    </row>
    <row r="78" spans="1:16" x14ac:dyDescent="0.2">
      <c r="A78" t="s">
        <v>16</v>
      </c>
      <c r="B78" t="s">
        <v>35</v>
      </c>
      <c r="C78" t="s">
        <v>34</v>
      </c>
      <c r="D78" t="s">
        <v>19</v>
      </c>
      <c r="E78">
        <v>905</v>
      </c>
      <c r="F78">
        <v>120</v>
      </c>
      <c r="G78">
        <v>20</v>
      </c>
      <c r="H78">
        <v>18100</v>
      </c>
      <c r="I78">
        <v>2172</v>
      </c>
      <c r="J78">
        <v>15928</v>
      </c>
      <c r="K78">
        <v>9050</v>
      </c>
      <c r="L78">
        <v>6878</v>
      </c>
      <c r="M78" s="2">
        <v>41913</v>
      </c>
      <c r="N78">
        <v>10</v>
      </c>
      <c r="O78" t="s">
        <v>33</v>
      </c>
      <c r="P78">
        <v>2014</v>
      </c>
    </row>
    <row r="79" spans="1:16" x14ac:dyDescent="0.2">
      <c r="A79" t="s">
        <v>16</v>
      </c>
      <c r="B79" t="s">
        <v>35</v>
      </c>
      <c r="C79" t="s">
        <v>28</v>
      </c>
      <c r="D79" t="s">
        <v>19</v>
      </c>
      <c r="E79">
        <v>1233</v>
      </c>
      <c r="F79">
        <v>250</v>
      </c>
      <c r="G79">
        <v>20</v>
      </c>
      <c r="H79">
        <v>24660</v>
      </c>
      <c r="I79">
        <v>2959.2</v>
      </c>
      <c r="J79">
        <v>21700.799999999999</v>
      </c>
      <c r="K79">
        <v>12330</v>
      </c>
      <c r="L79">
        <v>9370.7999999999993</v>
      </c>
      <c r="M79" s="2">
        <v>41974</v>
      </c>
      <c r="N79">
        <v>12</v>
      </c>
      <c r="O79" t="s">
        <v>27</v>
      </c>
      <c r="P79">
        <v>2014</v>
      </c>
    </row>
    <row r="80" spans="1:16" x14ac:dyDescent="0.2">
      <c r="A80" t="s">
        <v>16</v>
      </c>
      <c r="B80" t="s">
        <v>22</v>
      </c>
      <c r="C80" t="s">
        <v>18</v>
      </c>
      <c r="D80" t="s">
        <v>19</v>
      </c>
      <c r="E80">
        <v>2521.5</v>
      </c>
      <c r="F80">
        <v>3</v>
      </c>
      <c r="G80">
        <v>20</v>
      </c>
      <c r="H80">
        <v>50430</v>
      </c>
      <c r="I80">
        <v>6051.6</v>
      </c>
      <c r="J80">
        <v>44378.400000000001</v>
      </c>
      <c r="K80">
        <v>25215</v>
      </c>
      <c r="L80">
        <v>19163.400000000001</v>
      </c>
      <c r="M80" s="2">
        <v>41640</v>
      </c>
      <c r="N80">
        <v>1</v>
      </c>
      <c r="O80" t="s">
        <v>20</v>
      </c>
      <c r="P80">
        <v>2014</v>
      </c>
    </row>
    <row r="81" spans="1:16" x14ac:dyDescent="0.2">
      <c r="A81" t="s">
        <v>16</v>
      </c>
      <c r="B81" t="s">
        <v>21</v>
      </c>
      <c r="C81" t="s">
        <v>25</v>
      </c>
      <c r="D81" t="s">
        <v>19</v>
      </c>
      <c r="E81">
        <v>1531</v>
      </c>
      <c r="F81">
        <v>10</v>
      </c>
      <c r="G81">
        <v>20</v>
      </c>
      <c r="H81">
        <v>30620</v>
      </c>
      <c r="I81">
        <v>3674.4</v>
      </c>
      <c r="J81">
        <v>26945.599999999999</v>
      </c>
      <c r="K81">
        <v>15310</v>
      </c>
      <c r="L81">
        <v>11635.6</v>
      </c>
      <c r="M81" s="2">
        <v>41974</v>
      </c>
      <c r="N81">
        <v>12</v>
      </c>
      <c r="O81" t="s">
        <v>27</v>
      </c>
      <c r="P81">
        <v>2014</v>
      </c>
    </row>
    <row r="82" spans="1:16" x14ac:dyDescent="0.2">
      <c r="A82" t="s">
        <v>16</v>
      </c>
      <c r="B82" t="s">
        <v>21</v>
      </c>
      <c r="C82" t="s">
        <v>28</v>
      </c>
      <c r="D82" t="s">
        <v>19</v>
      </c>
      <c r="E82">
        <v>1531</v>
      </c>
      <c r="F82">
        <v>250</v>
      </c>
      <c r="G82">
        <v>20</v>
      </c>
      <c r="H82">
        <v>30620</v>
      </c>
      <c r="I82">
        <v>3674.4</v>
      </c>
      <c r="J82">
        <v>26945.599999999999</v>
      </c>
      <c r="K82">
        <v>15310</v>
      </c>
      <c r="L82">
        <v>11635.6</v>
      </c>
      <c r="M82" s="2">
        <v>41974</v>
      </c>
      <c r="N82">
        <v>12</v>
      </c>
      <c r="O82" t="s">
        <v>27</v>
      </c>
      <c r="P82">
        <v>2014</v>
      </c>
    </row>
    <row r="83" spans="1:16" x14ac:dyDescent="0.2">
      <c r="A83" t="s">
        <v>16</v>
      </c>
      <c r="B83" t="s">
        <v>21</v>
      </c>
      <c r="C83" t="s">
        <v>18</v>
      </c>
      <c r="D83" t="s">
        <v>19</v>
      </c>
      <c r="E83">
        <v>442</v>
      </c>
      <c r="F83">
        <v>3</v>
      </c>
      <c r="G83">
        <v>20</v>
      </c>
      <c r="H83">
        <v>8840</v>
      </c>
      <c r="I83">
        <v>1149.2</v>
      </c>
      <c r="J83">
        <v>7690.8</v>
      </c>
      <c r="K83">
        <v>4420</v>
      </c>
      <c r="L83">
        <v>3270.8</v>
      </c>
      <c r="M83" s="2">
        <v>41518</v>
      </c>
      <c r="N83">
        <v>9</v>
      </c>
      <c r="O83" t="s">
        <v>39</v>
      </c>
      <c r="P83">
        <v>2013</v>
      </c>
    </row>
    <row r="84" spans="1:16" x14ac:dyDescent="0.2">
      <c r="A84" t="s">
        <v>16</v>
      </c>
      <c r="B84" t="s">
        <v>35</v>
      </c>
      <c r="C84" t="s">
        <v>23</v>
      </c>
      <c r="D84" t="s">
        <v>19</v>
      </c>
      <c r="E84">
        <v>2255</v>
      </c>
      <c r="F84">
        <v>5</v>
      </c>
      <c r="G84">
        <v>20</v>
      </c>
      <c r="H84">
        <v>45100</v>
      </c>
      <c r="I84">
        <v>5863</v>
      </c>
      <c r="J84">
        <v>39237</v>
      </c>
      <c r="K84">
        <v>22550</v>
      </c>
      <c r="L84">
        <v>16687</v>
      </c>
      <c r="M84" s="2">
        <v>41821</v>
      </c>
      <c r="N84">
        <v>7</v>
      </c>
      <c r="O84" t="s">
        <v>31</v>
      </c>
      <c r="P84">
        <v>2014</v>
      </c>
    </row>
    <row r="85" spans="1:16" x14ac:dyDescent="0.2">
      <c r="A85" t="s">
        <v>16</v>
      </c>
      <c r="B85" t="s">
        <v>17</v>
      </c>
      <c r="C85" t="s">
        <v>23</v>
      </c>
      <c r="D85" t="s">
        <v>19</v>
      </c>
      <c r="E85">
        <v>1249</v>
      </c>
      <c r="F85">
        <v>5</v>
      </c>
      <c r="G85">
        <v>20</v>
      </c>
      <c r="H85">
        <v>24980</v>
      </c>
      <c r="I85">
        <v>3247.4</v>
      </c>
      <c r="J85">
        <v>21732.6</v>
      </c>
      <c r="K85">
        <v>12490</v>
      </c>
      <c r="L85">
        <v>9242.6</v>
      </c>
      <c r="M85" s="2">
        <v>41913</v>
      </c>
      <c r="N85">
        <v>10</v>
      </c>
      <c r="O85" t="s">
        <v>33</v>
      </c>
      <c r="P85">
        <v>2014</v>
      </c>
    </row>
    <row r="86" spans="1:16" x14ac:dyDescent="0.2">
      <c r="A86" t="s">
        <v>16</v>
      </c>
      <c r="B86" t="s">
        <v>32</v>
      </c>
      <c r="C86" t="s">
        <v>25</v>
      </c>
      <c r="D86" t="s">
        <v>19</v>
      </c>
      <c r="E86">
        <v>2641</v>
      </c>
      <c r="F86">
        <v>10</v>
      </c>
      <c r="G86">
        <v>20</v>
      </c>
      <c r="H86">
        <v>52820</v>
      </c>
      <c r="I86">
        <v>6866.6</v>
      </c>
      <c r="J86">
        <v>45953.4</v>
      </c>
      <c r="K86">
        <v>26410</v>
      </c>
      <c r="L86">
        <v>19543.400000000001</v>
      </c>
      <c r="M86" s="2">
        <v>41671</v>
      </c>
      <c r="N86">
        <v>2</v>
      </c>
      <c r="O86" t="s">
        <v>26</v>
      </c>
      <c r="P86">
        <v>2014</v>
      </c>
    </row>
    <row r="87" spans="1:16" x14ac:dyDescent="0.2">
      <c r="A87" t="s">
        <v>16</v>
      </c>
      <c r="B87" t="s">
        <v>21</v>
      </c>
      <c r="C87" t="s">
        <v>25</v>
      </c>
      <c r="D87" t="s">
        <v>19</v>
      </c>
      <c r="E87">
        <v>2708</v>
      </c>
      <c r="F87">
        <v>10</v>
      </c>
      <c r="G87">
        <v>20</v>
      </c>
      <c r="H87">
        <v>54160</v>
      </c>
      <c r="I87">
        <v>7040.8</v>
      </c>
      <c r="J87">
        <v>47119.199999999997</v>
      </c>
      <c r="K87">
        <v>27080</v>
      </c>
      <c r="L87">
        <v>20039.2</v>
      </c>
      <c r="M87" s="2">
        <v>41671</v>
      </c>
      <c r="N87">
        <v>2</v>
      </c>
      <c r="O87" t="s">
        <v>26</v>
      </c>
      <c r="P87">
        <v>2014</v>
      </c>
    </row>
    <row r="88" spans="1:16" x14ac:dyDescent="0.2">
      <c r="A88" t="s">
        <v>16</v>
      </c>
      <c r="B88" t="s">
        <v>17</v>
      </c>
      <c r="C88" t="s">
        <v>25</v>
      </c>
      <c r="D88" t="s">
        <v>19</v>
      </c>
      <c r="E88">
        <v>1249</v>
      </c>
      <c r="F88">
        <v>10</v>
      </c>
      <c r="G88">
        <v>20</v>
      </c>
      <c r="H88">
        <v>24980</v>
      </c>
      <c r="I88">
        <v>3247.4</v>
      </c>
      <c r="J88">
        <v>21732.6</v>
      </c>
      <c r="K88">
        <v>12490</v>
      </c>
      <c r="L88">
        <v>9242.6</v>
      </c>
      <c r="M88" s="2">
        <v>41913</v>
      </c>
      <c r="N88">
        <v>10</v>
      </c>
      <c r="O88" t="s">
        <v>33</v>
      </c>
      <c r="P88">
        <v>2014</v>
      </c>
    </row>
    <row r="89" spans="1:16" x14ac:dyDescent="0.2">
      <c r="A89" t="s">
        <v>16</v>
      </c>
      <c r="B89" t="s">
        <v>35</v>
      </c>
      <c r="C89" t="s">
        <v>18</v>
      </c>
      <c r="D89" t="s">
        <v>19</v>
      </c>
      <c r="E89">
        <v>2579</v>
      </c>
      <c r="F89">
        <v>3</v>
      </c>
      <c r="G89">
        <v>20</v>
      </c>
      <c r="H89">
        <v>51580</v>
      </c>
      <c r="I89">
        <v>7221.2</v>
      </c>
      <c r="J89">
        <v>44358.8</v>
      </c>
      <c r="K89">
        <v>25790</v>
      </c>
      <c r="L89">
        <v>18568.8</v>
      </c>
      <c r="M89" s="2">
        <v>41730</v>
      </c>
      <c r="N89">
        <v>4</v>
      </c>
      <c r="O89" t="s">
        <v>37</v>
      </c>
      <c r="P89">
        <v>2014</v>
      </c>
    </row>
    <row r="90" spans="1:16" x14ac:dyDescent="0.2">
      <c r="A90" t="s">
        <v>16</v>
      </c>
      <c r="B90" t="s">
        <v>32</v>
      </c>
      <c r="C90" t="s">
        <v>18</v>
      </c>
      <c r="D90" t="s">
        <v>19</v>
      </c>
      <c r="E90">
        <v>1743</v>
      </c>
      <c r="F90">
        <v>3</v>
      </c>
      <c r="G90">
        <v>20</v>
      </c>
      <c r="H90">
        <v>34860</v>
      </c>
      <c r="I90">
        <v>4880.3999999999996</v>
      </c>
      <c r="J90">
        <v>29979.599999999999</v>
      </c>
      <c r="K90">
        <v>17430</v>
      </c>
      <c r="L90">
        <v>12549.6</v>
      </c>
      <c r="M90" s="2">
        <v>41760</v>
      </c>
      <c r="N90">
        <v>5</v>
      </c>
      <c r="O90" t="s">
        <v>38</v>
      </c>
      <c r="P90">
        <v>2014</v>
      </c>
    </row>
    <row r="91" spans="1:16" x14ac:dyDescent="0.2">
      <c r="A91" t="s">
        <v>16</v>
      </c>
      <c r="B91" t="s">
        <v>17</v>
      </c>
      <c r="C91" t="s">
        <v>25</v>
      </c>
      <c r="D91" t="s">
        <v>19</v>
      </c>
      <c r="E91">
        <v>2428</v>
      </c>
      <c r="F91">
        <v>10</v>
      </c>
      <c r="G91">
        <v>20</v>
      </c>
      <c r="H91">
        <v>48560</v>
      </c>
      <c r="I91">
        <v>6798.4</v>
      </c>
      <c r="J91">
        <v>41761.599999999999</v>
      </c>
      <c r="K91">
        <v>24280</v>
      </c>
      <c r="L91">
        <v>17481.599999999999</v>
      </c>
      <c r="M91" s="2">
        <v>41699</v>
      </c>
      <c r="N91">
        <v>3</v>
      </c>
      <c r="O91" t="s">
        <v>42</v>
      </c>
      <c r="P91">
        <v>2014</v>
      </c>
    </row>
    <row r="92" spans="1:16" x14ac:dyDescent="0.2">
      <c r="A92" t="s">
        <v>16</v>
      </c>
      <c r="B92" t="s">
        <v>35</v>
      </c>
      <c r="C92" t="s">
        <v>25</v>
      </c>
      <c r="D92" t="s">
        <v>19</v>
      </c>
      <c r="E92">
        <v>260</v>
      </c>
      <c r="F92">
        <v>10</v>
      </c>
      <c r="G92">
        <v>20</v>
      </c>
      <c r="H92">
        <v>5200</v>
      </c>
      <c r="I92">
        <v>728</v>
      </c>
      <c r="J92">
        <v>4472</v>
      </c>
      <c r="K92">
        <v>2600</v>
      </c>
      <c r="L92">
        <v>1872</v>
      </c>
      <c r="M92" s="2">
        <v>41671</v>
      </c>
      <c r="N92">
        <v>2</v>
      </c>
      <c r="O92" t="s">
        <v>26</v>
      </c>
      <c r="P92">
        <v>2014</v>
      </c>
    </row>
    <row r="93" spans="1:16" x14ac:dyDescent="0.2">
      <c r="A93" t="s">
        <v>16</v>
      </c>
      <c r="B93" t="s">
        <v>32</v>
      </c>
      <c r="C93" t="s">
        <v>34</v>
      </c>
      <c r="D93" t="s">
        <v>19</v>
      </c>
      <c r="E93">
        <v>606</v>
      </c>
      <c r="F93">
        <v>120</v>
      </c>
      <c r="G93">
        <v>20</v>
      </c>
      <c r="H93">
        <v>12120</v>
      </c>
      <c r="I93">
        <v>1696.8</v>
      </c>
      <c r="J93">
        <v>10423.200000000001</v>
      </c>
      <c r="K93">
        <v>6060</v>
      </c>
      <c r="L93">
        <v>4363.2</v>
      </c>
      <c r="M93" s="2">
        <v>41730</v>
      </c>
      <c r="N93">
        <v>4</v>
      </c>
      <c r="O93" t="s">
        <v>37</v>
      </c>
      <c r="P93">
        <v>2014</v>
      </c>
    </row>
    <row r="94" spans="1:16" x14ac:dyDescent="0.2">
      <c r="A94" t="s">
        <v>16</v>
      </c>
      <c r="B94" t="s">
        <v>21</v>
      </c>
      <c r="C94" t="s">
        <v>25</v>
      </c>
      <c r="D94" t="s">
        <v>19</v>
      </c>
      <c r="E94">
        <v>1158</v>
      </c>
      <c r="F94">
        <v>10</v>
      </c>
      <c r="G94">
        <v>20</v>
      </c>
      <c r="H94">
        <v>23160</v>
      </c>
      <c r="I94">
        <v>3474</v>
      </c>
      <c r="J94">
        <v>19686</v>
      </c>
      <c r="K94">
        <v>11580</v>
      </c>
      <c r="L94">
        <v>8106</v>
      </c>
      <c r="M94" s="2">
        <v>41699</v>
      </c>
      <c r="N94">
        <v>3</v>
      </c>
      <c r="O94" t="s">
        <v>42</v>
      </c>
      <c r="P94">
        <v>2014</v>
      </c>
    </row>
    <row r="95" spans="1:16" x14ac:dyDescent="0.2">
      <c r="A95" t="s">
        <v>16</v>
      </c>
      <c r="B95" t="s">
        <v>32</v>
      </c>
      <c r="C95" t="s">
        <v>25</v>
      </c>
      <c r="D95" t="s">
        <v>19</v>
      </c>
      <c r="E95">
        <v>267</v>
      </c>
      <c r="F95">
        <v>10</v>
      </c>
      <c r="G95">
        <v>20</v>
      </c>
      <c r="H95">
        <v>5340</v>
      </c>
      <c r="I95">
        <v>801</v>
      </c>
      <c r="J95">
        <v>4539</v>
      </c>
      <c r="K95">
        <v>2670</v>
      </c>
      <c r="L95">
        <v>1869</v>
      </c>
      <c r="M95" s="2">
        <v>41548</v>
      </c>
      <c r="N95">
        <v>10</v>
      </c>
      <c r="O95" t="s">
        <v>33</v>
      </c>
      <c r="P95">
        <v>2013</v>
      </c>
    </row>
    <row r="96" spans="1:16" x14ac:dyDescent="0.2">
      <c r="A96" t="s">
        <v>16</v>
      </c>
      <c r="B96" t="s">
        <v>22</v>
      </c>
      <c r="C96" t="s">
        <v>25</v>
      </c>
      <c r="D96" t="s">
        <v>19</v>
      </c>
      <c r="E96">
        <v>293</v>
      </c>
      <c r="F96">
        <v>10</v>
      </c>
      <c r="G96">
        <v>20</v>
      </c>
      <c r="H96">
        <v>5860</v>
      </c>
      <c r="I96">
        <v>879</v>
      </c>
      <c r="J96">
        <v>4981</v>
      </c>
      <c r="K96">
        <v>2930</v>
      </c>
      <c r="L96">
        <v>2051</v>
      </c>
      <c r="M96" s="2">
        <v>41974</v>
      </c>
      <c r="N96">
        <v>12</v>
      </c>
      <c r="O96" t="s">
        <v>27</v>
      </c>
      <c r="P96">
        <v>2014</v>
      </c>
    </row>
    <row r="97" spans="1:16" x14ac:dyDescent="0.2">
      <c r="A97" t="s">
        <v>16</v>
      </c>
      <c r="B97" t="s">
        <v>17</v>
      </c>
      <c r="C97" t="s">
        <v>28</v>
      </c>
      <c r="D97" t="s">
        <v>19</v>
      </c>
      <c r="E97">
        <v>865.5</v>
      </c>
      <c r="F97">
        <v>250</v>
      </c>
      <c r="G97">
        <v>20</v>
      </c>
      <c r="H97">
        <v>17310</v>
      </c>
      <c r="I97">
        <v>2596.5</v>
      </c>
      <c r="J97">
        <v>14713.5</v>
      </c>
      <c r="K97">
        <v>8655</v>
      </c>
      <c r="L97">
        <v>6058.5</v>
      </c>
      <c r="M97" s="2">
        <v>41821</v>
      </c>
      <c r="N97">
        <v>7</v>
      </c>
      <c r="O97" t="s">
        <v>31</v>
      </c>
      <c r="P97">
        <v>2014</v>
      </c>
    </row>
    <row r="98" spans="1:16" x14ac:dyDescent="0.2">
      <c r="A98" t="s">
        <v>16</v>
      </c>
      <c r="B98" t="s">
        <v>32</v>
      </c>
      <c r="C98" t="s">
        <v>28</v>
      </c>
      <c r="D98" t="s">
        <v>19</v>
      </c>
      <c r="E98">
        <v>267</v>
      </c>
      <c r="F98">
        <v>250</v>
      </c>
      <c r="G98">
        <v>20</v>
      </c>
      <c r="H98">
        <v>5340</v>
      </c>
      <c r="I98">
        <v>801</v>
      </c>
      <c r="J98">
        <v>4539</v>
      </c>
      <c r="K98">
        <v>2670</v>
      </c>
      <c r="L98">
        <v>1869</v>
      </c>
      <c r="M98" s="2">
        <v>41548</v>
      </c>
      <c r="N98">
        <v>10</v>
      </c>
      <c r="O98" t="s">
        <v>33</v>
      </c>
      <c r="P98">
        <v>2013</v>
      </c>
    </row>
    <row r="99" spans="1:16" x14ac:dyDescent="0.2">
      <c r="A99" t="s">
        <v>16</v>
      </c>
      <c r="B99" t="s">
        <v>22</v>
      </c>
      <c r="C99" t="s">
        <v>28</v>
      </c>
      <c r="D99" t="s">
        <v>19</v>
      </c>
      <c r="E99">
        <v>293</v>
      </c>
      <c r="F99">
        <v>250</v>
      </c>
      <c r="G99">
        <v>20</v>
      </c>
      <c r="H99">
        <v>5860</v>
      </c>
      <c r="I99">
        <v>879</v>
      </c>
      <c r="J99">
        <v>4981</v>
      </c>
      <c r="K99">
        <v>2930</v>
      </c>
      <c r="L99">
        <v>2051</v>
      </c>
      <c r="M99" s="2">
        <v>41974</v>
      </c>
      <c r="N99">
        <v>12</v>
      </c>
      <c r="O99" t="s">
        <v>27</v>
      </c>
      <c r="P99">
        <v>2014</v>
      </c>
    </row>
    <row r="100" spans="1:16" x14ac:dyDescent="0.2">
      <c r="A100" t="s">
        <v>16</v>
      </c>
      <c r="B100" t="s">
        <v>21</v>
      </c>
      <c r="C100" t="s">
        <v>23</v>
      </c>
      <c r="D100" t="s">
        <v>19</v>
      </c>
      <c r="E100">
        <v>2146</v>
      </c>
      <c r="F100">
        <v>5</v>
      </c>
      <c r="G100">
        <v>7</v>
      </c>
      <c r="H100">
        <v>15022</v>
      </c>
      <c r="I100">
        <v>0</v>
      </c>
      <c r="J100">
        <v>15022</v>
      </c>
      <c r="K100">
        <v>10730</v>
      </c>
      <c r="L100">
        <v>4292</v>
      </c>
      <c r="M100" s="2">
        <v>41883</v>
      </c>
      <c r="N100">
        <v>9</v>
      </c>
      <c r="O100" t="s">
        <v>39</v>
      </c>
      <c r="P100">
        <v>2014</v>
      </c>
    </row>
    <row r="101" spans="1:16" x14ac:dyDescent="0.2">
      <c r="A101" t="s">
        <v>16</v>
      </c>
      <c r="B101" t="s">
        <v>35</v>
      </c>
      <c r="C101" t="s">
        <v>25</v>
      </c>
      <c r="D101" t="s">
        <v>19</v>
      </c>
      <c r="E101">
        <v>883</v>
      </c>
      <c r="F101">
        <v>10</v>
      </c>
      <c r="G101">
        <v>7</v>
      </c>
      <c r="H101">
        <v>6181</v>
      </c>
      <c r="I101">
        <v>0</v>
      </c>
      <c r="J101">
        <v>6181</v>
      </c>
      <c r="K101">
        <v>4415</v>
      </c>
      <c r="L101">
        <v>1766</v>
      </c>
      <c r="M101" s="2">
        <v>41852</v>
      </c>
      <c r="N101">
        <v>8</v>
      </c>
      <c r="O101" t="s">
        <v>41</v>
      </c>
      <c r="P101">
        <v>2014</v>
      </c>
    </row>
    <row r="102" spans="1:16" x14ac:dyDescent="0.2">
      <c r="A102" t="s">
        <v>16</v>
      </c>
      <c r="B102" t="s">
        <v>32</v>
      </c>
      <c r="C102" t="s">
        <v>25</v>
      </c>
      <c r="D102" t="s">
        <v>19</v>
      </c>
      <c r="E102">
        <v>1143</v>
      </c>
      <c r="F102">
        <v>10</v>
      </c>
      <c r="G102">
        <v>7</v>
      </c>
      <c r="H102">
        <v>8001</v>
      </c>
      <c r="I102">
        <v>0</v>
      </c>
      <c r="J102">
        <v>8001</v>
      </c>
      <c r="K102">
        <v>5715</v>
      </c>
      <c r="L102">
        <v>2286</v>
      </c>
      <c r="M102" s="2">
        <v>41913</v>
      </c>
      <c r="N102">
        <v>10</v>
      </c>
      <c r="O102" t="s">
        <v>33</v>
      </c>
      <c r="P102">
        <v>2014</v>
      </c>
    </row>
    <row r="103" spans="1:16" x14ac:dyDescent="0.2">
      <c r="A103" t="s">
        <v>16</v>
      </c>
      <c r="B103" t="s">
        <v>35</v>
      </c>
      <c r="C103" t="s">
        <v>34</v>
      </c>
      <c r="D103" t="s">
        <v>19</v>
      </c>
      <c r="E103">
        <v>1493</v>
      </c>
      <c r="F103">
        <v>120</v>
      </c>
      <c r="G103">
        <v>7</v>
      </c>
      <c r="H103">
        <v>10451</v>
      </c>
      <c r="I103">
        <v>0</v>
      </c>
      <c r="J103">
        <v>10451</v>
      </c>
      <c r="K103">
        <v>7465</v>
      </c>
      <c r="L103">
        <v>2986</v>
      </c>
      <c r="M103" s="2">
        <v>41640</v>
      </c>
      <c r="N103">
        <v>1</v>
      </c>
      <c r="O103" t="s">
        <v>20</v>
      </c>
      <c r="P103">
        <v>2014</v>
      </c>
    </row>
    <row r="104" spans="1:16" x14ac:dyDescent="0.2">
      <c r="A104" t="s">
        <v>16</v>
      </c>
      <c r="B104" t="s">
        <v>21</v>
      </c>
      <c r="C104" t="s">
        <v>29</v>
      </c>
      <c r="D104" t="s">
        <v>19</v>
      </c>
      <c r="E104">
        <v>1686</v>
      </c>
      <c r="F104">
        <v>260</v>
      </c>
      <c r="G104">
        <v>7</v>
      </c>
      <c r="H104">
        <v>11802</v>
      </c>
      <c r="I104">
        <v>0</v>
      </c>
      <c r="J104">
        <v>11802</v>
      </c>
      <c r="K104">
        <v>8430</v>
      </c>
      <c r="L104">
        <v>3372</v>
      </c>
      <c r="M104" s="2">
        <v>41821</v>
      </c>
      <c r="N104">
        <v>7</v>
      </c>
      <c r="O104" t="s">
        <v>31</v>
      </c>
      <c r="P104">
        <v>2014</v>
      </c>
    </row>
    <row r="105" spans="1:16" x14ac:dyDescent="0.2">
      <c r="A105" t="s">
        <v>16</v>
      </c>
      <c r="B105" t="s">
        <v>32</v>
      </c>
      <c r="C105" t="s">
        <v>29</v>
      </c>
      <c r="D105" t="s">
        <v>19</v>
      </c>
      <c r="E105">
        <v>1143</v>
      </c>
      <c r="F105">
        <v>260</v>
      </c>
      <c r="G105">
        <v>7</v>
      </c>
      <c r="H105">
        <v>8001</v>
      </c>
      <c r="I105">
        <v>0</v>
      </c>
      <c r="J105">
        <v>8001</v>
      </c>
      <c r="K105">
        <v>5715</v>
      </c>
      <c r="L105">
        <v>2286</v>
      </c>
      <c r="M105" s="2">
        <v>41913</v>
      </c>
      <c r="N105">
        <v>10</v>
      </c>
      <c r="O105" t="s">
        <v>33</v>
      </c>
      <c r="P105">
        <v>2014</v>
      </c>
    </row>
    <row r="106" spans="1:16" x14ac:dyDescent="0.2">
      <c r="A106" t="s">
        <v>16</v>
      </c>
      <c r="B106" t="s">
        <v>22</v>
      </c>
      <c r="C106" t="s">
        <v>25</v>
      </c>
      <c r="D106" t="s">
        <v>30</v>
      </c>
      <c r="E106">
        <v>3945</v>
      </c>
      <c r="F106">
        <v>10</v>
      </c>
      <c r="G106">
        <v>7</v>
      </c>
      <c r="H106">
        <v>27615</v>
      </c>
      <c r="I106">
        <v>276.14999999999998</v>
      </c>
      <c r="J106">
        <v>27338.85</v>
      </c>
      <c r="K106">
        <v>19725</v>
      </c>
      <c r="L106">
        <v>7613.85</v>
      </c>
      <c r="M106" s="2">
        <v>41640</v>
      </c>
      <c r="N106">
        <v>1</v>
      </c>
      <c r="O106" t="s">
        <v>20</v>
      </c>
      <c r="P106">
        <v>2014</v>
      </c>
    </row>
    <row r="107" spans="1:16" x14ac:dyDescent="0.2">
      <c r="A107" t="s">
        <v>16</v>
      </c>
      <c r="B107" t="s">
        <v>22</v>
      </c>
      <c r="C107" t="s">
        <v>25</v>
      </c>
      <c r="D107" t="s">
        <v>30</v>
      </c>
      <c r="E107">
        <v>1030</v>
      </c>
      <c r="F107">
        <v>10</v>
      </c>
      <c r="G107">
        <v>7</v>
      </c>
      <c r="H107">
        <v>7210</v>
      </c>
      <c r="I107">
        <v>72.099999999999994</v>
      </c>
      <c r="J107">
        <v>7137.9</v>
      </c>
      <c r="K107">
        <v>5150</v>
      </c>
      <c r="L107">
        <v>1987.9</v>
      </c>
      <c r="M107" s="2">
        <v>41760</v>
      </c>
      <c r="N107">
        <v>5</v>
      </c>
      <c r="O107" t="s">
        <v>38</v>
      </c>
      <c r="P107">
        <v>2014</v>
      </c>
    </row>
    <row r="108" spans="1:16" x14ac:dyDescent="0.2">
      <c r="A108" t="s">
        <v>16</v>
      </c>
      <c r="B108" t="s">
        <v>22</v>
      </c>
      <c r="C108" t="s">
        <v>34</v>
      </c>
      <c r="D108" t="s">
        <v>30</v>
      </c>
      <c r="E108">
        <v>639</v>
      </c>
      <c r="F108">
        <v>120</v>
      </c>
      <c r="G108">
        <v>7</v>
      </c>
      <c r="H108">
        <v>4473</v>
      </c>
      <c r="I108">
        <v>44.73</v>
      </c>
      <c r="J108">
        <v>4428.2700000000004</v>
      </c>
      <c r="K108">
        <v>3195</v>
      </c>
      <c r="L108">
        <v>1233.27</v>
      </c>
      <c r="M108" s="2">
        <v>41944</v>
      </c>
      <c r="N108">
        <v>11</v>
      </c>
      <c r="O108" t="s">
        <v>36</v>
      </c>
      <c r="P108">
        <v>2014</v>
      </c>
    </row>
    <row r="109" spans="1:16" x14ac:dyDescent="0.2">
      <c r="A109" t="s">
        <v>16</v>
      </c>
      <c r="B109" t="s">
        <v>17</v>
      </c>
      <c r="C109" t="s">
        <v>28</v>
      </c>
      <c r="D109" t="s">
        <v>30</v>
      </c>
      <c r="E109">
        <v>1326</v>
      </c>
      <c r="F109">
        <v>250</v>
      </c>
      <c r="G109">
        <v>7</v>
      </c>
      <c r="H109">
        <v>9282</v>
      </c>
      <c r="I109">
        <v>92.82</v>
      </c>
      <c r="J109">
        <v>9189.18</v>
      </c>
      <c r="K109">
        <v>6630</v>
      </c>
      <c r="L109">
        <v>2559.1799999999998</v>
      </c>
      <c r="M109" s="2">
        <v>41699</v>
      </c>
      <c r="N109">
        <v>3</v>
      </c>
      <c r="O109" t="s">
        <v>42</v>
      </c>
      <c r="P109">
        <v>2014</v>
      </c>
    </row>
    <row r="110" spans="1:16" x14ac:dyDescent="0.2">
      <c r="A110" t="s">
        <v>16</v>
      </c>
      <c r="B110" t="s">
        <v>32</v>
      </c>
      <c r="C110" t="s">
        <v>18</v>
      </c>
      <c r="D110" t="s">
        <v>30</v>
      </c>
      <c r="E110">
        <v>2529</v>
      </c>
      <c r="F110">
        <v>3</v>
      </c>
      <c r="G110">
        <v>7</v>
      </c>
      <c r="H110">
        <v>17703</v>
      </c>
      <c r="I110">
        <v>177.03</v>
      </c>
      <c r="J110">
        <v>17525.97</v>
      </c>
      <c r="K110">
        <v>12645</v>
      </c>
      <c r="L110">
        <v>4880.97</v>
      </c>
      <c r="M110" s="2">
        <v>41821</v>
      </c>
      <c r="N110">
        <v>7</v>
      </c>
      <c r="O110" t="s">
        <v>31</v>
      </c>
      <c r="P110">
        <v>2014</v>
      </c>
    </row>
    <row r="111" spans="1:16" x14ac:dyDescent="0.2">
      <c r="A111" t="s">
        <v>16</v>
      </c>
      <c r="B111" t="s">
        <v>17</v>
      </c>
      <c r="C111" t="s">
        <v>23</v>
      </c>
      <c r="D111" t="s">
        <v>30</v>
      </c>
      <c r="E111">
        <v>1830</v>
      </c>
      <c r="F111">
        <v>5</v>
      </c>
      <c r="G111">
        <v>7</v>
      </c>
      <c r="H111">
        <v>12810</v>
      </c>
      <c r="I111">
        <v>128.1</v>
      </c>
      <c r="J111">
        <v>12681.9</v>
      </c>
      <c r="K111">
        <v>9150</v>
      </c>
      <c r="L111">
        <v>3531.9</v>
      </c>
      <c r="M111" s="2">
        <v>41852</v>
      </c>
      <c r="N111">
        <v>8</v>
      </c>
      <c r="O111" t="s">
        <v>41</v>
      </c>
      <c r="P111">
        <v>2014</v>
      </c>
    </row>
    <row r="112" spans="1:16" x14ac:dyDescent="0.2">
      <c r="A112" t="s">
        <v>16</v>
      </c>
      <c r="B112" t="s">
        <v>35</v>
      </c>
      <c r="C112" t="s">
        <v>34</v>
      </c>
      <c r="D112" t="s">
        <v>30</v>
      </c>
      <c r="E112">
        <v>362</v>
      </c>
      <c r="F112">
        <v>120</v>
      </c>
      <c r="G112">
        <v>7</v>
      </c>
      <c r="H112">
        <v>2534</v>
      </c>
      <c r="I112">
        <v>25.34</v>
      </c>
      <c r="J112">
        <v>2508.66</v>
      </c>
      <c r="K112">
        <v>1810</v>
      </c>
      <c r="L112">
        <v>698.66</v>
      </c>
      <c r="M112" s="2">
        <v>41760</v>
      </c>
      <c r="N112">
        <v>5</v>
      </c>
      <c r="O112" t="s">
        <v>38</v>
      </c>
      <c r="P112">
        <v>2014</v>
      </c>
    </row>
    <row r="113" spans="1:16" x14ac:dyDescent="0.2">
      <c r="A113" t="s">
        <v>16</v>
      </c>
      <c r="B113" t="s">
        <v>17</v>
      </c>
      <c r="C113" t="s">
        <v>34</v>
      </c>
      <c r="D113" t="s">
        <v>30</v>
      </c>
      <c r="E113">
        <v>2092</v>
      </c>
      <c r="F113">
        <v>120</v>
      </c>
      <c r="G113">
        <v>7</v>
      </c>
      <c r="H113">
        <v>14644</v>
      </c>
      <c r="I113">
        <v>146.44</v>
      </c>
      <c r="J113">
        <v>14497.56</v>
      </c>
      <c r="K113">
        <v>10460</v>
      </c>
      <c r="L113">
        <v>4037.56</v>
      </c>
      <c r="M113" s="2">
        <v>41579</v>
      </c>
      <c r="N113">
        <v>11</v>
      </c>
      <c r="O113" t="s">
        <v>36</v>
      </c>
      <c r="P113">
        <v>2013</v>
      </c>
    </row>
    <row r="114" spans="1:16" x14ac:dyDescent="0.2">
      <c r="A114" t="s">
        <v>16</v>
      </c>
      <c r="B114" t="s">
        <v>21</v>
      </c>
      <c r="C114" t="s">
        <v>28</v>
      </c>
      <c r="D114" t="s">
        <v>30</v>
      </c>
      <c r="E114">
        <v>263</v>
      </c>
      <c r="F114">
        <v>250</v>
      </c>
      <c r="G114">
        <v>7</v>
      </c>
      <c r="H114">
        <v>1841</v>
      </c>
      <c r="I114">
        <v>18.41</v>
      </c>
      <c r="J114">
        <v>1822.59</v>
      </c>
      <c r="K114">
        <v>1315</v>
      </c>
      <c r="L114">
        <v>507.59</v>
      </c>
      <c r="M114" s="2">
        <v>41699</v>
      </c>
      <c r="N114">
        <v>3</v>
      </c>
      <c r="O114" t="s">
        <v>42</v>
      </c>
      <c r="P114">
        <v>2014</v>
      </c>
    </row>
    <row r="115" spans="1:16" x14ac:dyDescent="0.2">
      <c r="A115" t="s">
        <v>16</v>
      </c>
      <c r="B115" t="s">
        <v>22</v>
      </c>
      <c r="C115" t="s">
        <v>18</v>
      </c>
      <c r="D115" t="s">
        <v>30</v>
      </c>
      <c r="E115">
        <v>2145</v>
      </c>
      <c r="F115">
        <v>3</v>
      </c>
      <c r="G115">
        <v>7</v>
      </c>
      <c r="H115">
        <v>15015</v>
      </c>
      <c r="I115">
        <v>300.3</v>
      </c>
      <c r="J115">
        <v>14714.7</v>
      </c>
      <c r="K115">
        <v>10725</v>
      </c>
      <c r="L115">
        <v>3989.7</v>
      </c>
      <c r="M115" s="2">
        <v>41579</v>
      </c>
      <c r="N115">
        <v>11</v>
      </c>
      <c r="O115" t="s">
        <v>36</v>
      </c>
      <c r="P115">
        <v>2013</v>
      </c>
    </row>
    <row r="116" spans="1:16" x14ac:dyDescent="0.2">
      <c r="A116" t="s">
        <v>16</v>
      </c>
      <c r="B116" t="s">
        <v>32</v>
      </c>
      <c r="C116" t="s">
        <v>25</v>
      </c>
      <c r="D116" t="s">
        <v>30</v>
      </c>
      <c r="E116">
        <v>2013</v>
      </c>
      <c r="F116">
        <v>10</v>
      </c>
      <c r="G116">
        <v>7</v>
      </c>
      <c r="H116">
        <v>14091</v>
      </c>
      <c r="I116">
        <v>281.82</v>
      </c>
      <c r="J116">
        <v>13809.18</v>
      </c>
      <c r="K116">
        <v>10065</v>
      </c>
      <c r="L116">
        <v>3744.18</v>
      </c>
      <c r="M116" s="2">
        <v>41609</v>
      </c>
      <c r="N116">
        <v>12</v>
      </c>
      <c r="O116" t="s">
        <v>27</v>
      </c>
      <c r="P116">
        <v>2013</v>
      </c>
    </row>
    <row r="117" spans="1:16" x14ac:dyDescent="0.2">
      <c r="A117" t="s">
        <v>16</v>
      </c>
      <c r="B117" t="s">
        <v>21</v>
      </c>
      <c r="C117" t="s">
        <v>23</v>
      </c>
      <c r="D117" t="s">
        <v>30</v>
      </c>
      <c r="E117">
        <v>1958</v>
      </c>
      <c r="F117">
        <v>5</v>
      </c>
      <c r="G117">
        <v>7</v>
      </c>
      <c r="H117">
        <v>13706</v>
      </c>
      <c r="I117">
        <v>411.18</v>
      </c>
      <c r="J117">
        <v>13294.82</v>
      </c>
      <c r="K117">
        <v>9790</v>
      </c>
      <c r="L117">
        <v>3504.82</v>
      </c>
      <c r="M117" s="2">
        <v>41671</v>
      </c>
      <c r="N117">
        <v>2</v>
      </c>
      <c r="O117" t="s">
        <v>26</v>
      </c>
      <c r="P117">
        <v>2014</v>
      </c>
    </row>
    <row r="118" spans="1:16" x14ac:dyDescent="0.2">
      <c r="A118" t="s">
        <v>16</v>
      </c>
      <c r="B118" t="s">
        <v>22</v>
      </c>
      <c r="C118" t="s">
        <v>23</v>
      </c>
      <c r="D118" t="s">
        <v>30</v>
      </c>
      <c r="E118">
        <v>544</v>
      </c>
      <c r="F118">
        <v>5</v>
      </c>
      <c r="G118">
        <v>7</v>
      </c>
      <c r="H118">
        <v>3808</v>
      </c>
      <c r="I118">
        <v>114.24</v>
      </c>
      <c r="J118">
        <v>3693.76</v>
      </c>
      <c r="K118">
        <v>2720</v>
      </c>
      <c r="L118">
        <v>973.76</v>
      </c>
      <c r="M118" s="2">
        <v>41883</v>
      </c>
      <c r="N118">
        <v>9</v>
      </c>
      <c r="O118" t="s">
        <v>39</v>
      </c>
      <c r="P118">
        <v>2014</v>
      </c>
    </row>
    <row r="119" spans="1:16" x14ac:dyDescent="0.2">
      <c r="A119" t="s">
        <v>16</v>
      </c>
      <c r="B119" t="s">
        <v>35</v>
      </c>
      <c r="C119" t="s">
        <v>25</v>
      </c>
      <c r="D119" t="s">
        <v>30</v>
      </c>
      <c r="E119">
        <v>1760</v>
      </c>
      <c r="F119">
        <v>10</v>
      </c>
      <c r="G119">
        <v>7</v>
      </c>
      <c r="H119">
        <v>12320</v>
      </c>
      <c r="I119">
        <v>369.6</v>
      </c>
      <c r="J119">
        <v>11950.4</v>
      </c>
      <c r="K119">
        <v>8800</v>
      </c>
      <c r="L119">
        <v>3150.4</v>
      </c>
      <c r="M119" s="2">
        <v>41518</v>
      </c>
      <c r="N119">
        <v>9</v>
      </c>
      <c r="O119" t="s">
        <v>39</v>
      </c>
      <c r="P119">
        <v>2013</v>
      </c>
    </row>
    <row r="120" spans="1:16" x14ac:dyDescent="0.2">
      <c r="A120" t="s">
        <v>16</v>
      </c>
      <c r="B120" t="s">
        <v>17</v>
      </c>
      <c r="C120" t="s">
        <v>18</v>
      </c>
      <c r="D120" t="s">
        <v>30</v>
      </c>
      <c r="E120">
        <v>2851</v>
      </c>
      <c r="F120">
        <v>3</v>
      </c>
      <c r="G120">
        <v>7</v>
      </c>
      <c r="H120">
        <v>19957</v>
      </c>
      <c r="I120">
        <v>798.28</v>
      </c>
      <c r="J120">
        <v>19158.72</v>
      </c>
      <c r="K120">
        <v>14255</v>
      </c>
      <c r="L120">
        <v>4903.72</v>
      </c>
      <c r="M120" s="2">
        <v>41548</v>
      </c>
      <c r="N120">
        <v>10</v>
      </c>
      <c r="O120" t="s">
        <v>33</v>
      </c>
      <c r="P120">
        <v>2013</v>
      </c>
    </row>
    <row r="121" spans="1:16" x14ac:dyDescent="0.2">
      <c r="A121" t="s">
        <v>16</v>
      </c>
      <c r="B121" t="s">
        <v>17</v>
      </c>
      <c r="C121" t="s">
        <v>23</v>
      </c>
      <c r="D121" t="s">
        <v>30</v>
      </c>
      <c r="E121">
        <v>2851</v>
      </c>
      <c r="F121">
        <v>5</v>
      </c>
      <c r="G121">
        <v>7</v>
      </c>
      <c r="H121">
        <v>19957</v>
      </c>
      <c r="I121">
        <v>798.28</v>
      </c>
      <c r="J121">
        <v>19158.72</v>
      </c>
      <c r="K121">
        <v>14255</v>
      </c>
      <c r="L121">
        <v>4903.72</v>
      </c>
      <c r="M121" s="2">
        <v>41548</v>
      </c>
      <c r="N121">
        <v>10</v>
      </c>
      <c r="O121" t="s">
        <v>33</v>
      </c>
      <c r="P121">
        <v>2013</v>
      </c>
    </row>
    <row r="122" spans="1:16" x14ac:dyDescent="0.2">
      <c r="A122" t="s">
        <v>16</v>
      </c>
      <c r="B122" t="s">
        <v>21</v>
      </c>
      <c r="C122" t="s">
        <v>23</v>
      </c>
      <c r="D122" t="s">
        <v>40</v>
      </c>
      <c r="E122">
        <v>1159</v>
      </c>
      <c r="F122">
        <v>5</v>
      </c>
      <c r="G122">
        <v>7</v>
      </c>
      <c r="H122">
        <v>8113</v>
      </c>
      <c r="I122">
        <v>405.65</v>
      </c>
      <c r="J122">
        <v>7707.35</v>
      </c>
      <c r="K122">
        <v>5795</v>
      </c>
      <c r="L122">
        <v>1912.35</v>
      </c>
      <c r="M122" s="2">
        <v>41548</v>
      </c>
      <c r="N122">
        <v>10</v>
      </c>
      <c r="O122" t="s">
        <v>33</v>
      </c>
      <c r="P122">
        <v>2013</v>
      </c>
    </row>
    <row r="123" spans="1:16" x14ac:dyDescent="0.2">
      <c r="A123" t="s">
        <v>16</v>
      </c>
      <c r="B123" t="s">
        <v>21</v>
      </c>
      <c r="C123" t="s">
        <v>25</v>
      </c>
      <c r="D123" t="s">
        <v>40</v>
      </c>
      <c r="E123">
        <v>1372</v>
      </c>
      <c r="F123">
        <v>10</v>
      </c>
      <c r="G123">
        <v>7</v>
      </c>
      <c r="H123">
        <v>9604</v>
      </c>
      <c r="I123">
        <v>480.2</v>
      </c>
      <c r="J123">
        <v>9123.7999999999993</v>
      </c>
      <c r="K123">
        <v>6860</v>
      </c>
      <c r="L123">
        <v>2263.8000000000002</v>
      </c>
      <c r="M123" s="2">
        <v>41640</v>
      </c>
      <c r="N123">
        <v>1</v>
      </c>
      <c r="O123" t="s">
        <v>20</v>
      </c>
      <c r="P123">
        <v>2014</v>
      </c>
    </row>
    <row r="124" spans="1:16" x14ac:dyDescent="0.2">
      <c r="A124" t="s">
        <v>16</v>
      </c>
      <c r="B124" t="s">
        <v>17</v>
      </c>
      <c r="C124" t="s">
        <v>25</v>
      </c>
      <c r="D124" t="s">
        <v>40</v>
      </c>
      <c r="E124">
        <v>2349</v>
      </c>
      <c r="F124">
        <v>10</v>
      </c>
      <c r="G124">
        <v>7</v>
      </c>
      <c r="H124">
        <v>16443</v>
      </c>
      <c r="I124">
        <v>822.15</v>
      </c>
      <c r="J124">
        <v>15620.85</v>
      </c>
      <c r="K124">
        <v>11745</v>
      </c>
      <c r="L124">
        <v>3875.85</v>
      </c>
      <c r="M124" s="2">
        <v>41518</v>
      </c>
      <c r="N124">
        <v>9</v>
      </c>
      <c r="O124" t="s">
        <v>39</v>
      </c>
      <c r="P124">
        <v>2013</v>
      </c>
    </row>
    <row r="125" spans="1:16" x14ac:dyDescent="0.2">
      <c r="A125" t="s">
        <v>16</v>
      </c>
      <c r="B125" t="s">
        <v>35</v>
      </c>
      <c r="C125" t="s">
        <v>25</v>
      </c>
      <c r="D125" t="s">
        <v>40</v>
      </c>
      <c r="E125">
        <v>2689</v>
      </c>
      <c r="F125">
        <v>10</v>
      </c>
      <c r="G125">
        <v>7</v>
      </c>
      <c r="H125">
        <v>18823</v>
      </c>
      <c r="I125">
        <v>941.15</v>
      </c>
      <c r="J125">
        <v>17881.849999999999</v>
      </c>
      <c r="K125">
        <v>13445</v>
      </c>
      <c r="L125">
        <v>4436.8500000000004</v>
      </c>
      <c r="M125" s="2">
        <v>41913</v>
      </c>
      <c r="N125">
        <v>10</v>
      </c>
      <c r="O125" t="s">
        <v>33</v>
      </c>
      <c r="P125">
        <v>2014</v>
      </c>
    </row>
    <row r="126" spans="1:16" x14ac:dyDescent="0.2">
      <c r="A126" t="s">
        <v>16</v>
      </c>
      <c r="B126" t="s">
        <v>35</v>
      </c>
      <c r="C126" t="s">
        <v>28</v>
      </c>
      <c r="D126" t="s">
        <v>40</v>
      </c>
      <c r="E126">
        <v>2689</v>
      </c>
      <c r="F126">
        <v>250</v>
      </c>
      <c r="G126">
        <v>7</v>
      </c>
      <c r="H126">
        <v>18823</v>
      </c>
      <c r="I126">
        <v>941.15</v>
      </c>
      <c r="J126">
        <v>17881.849999999999</v>
      </c>
      <c r="K126">
        <v>13445</v>
      </c>
      <c r="L126">
        <v>4436.8500000000004</v>
      </c>
      <c r="M126" s="2">
        <v>41913</v>
      </c>
      <c r="N126">
        <v>10</v>
      </c>
      <c r="O126" t="s">
        <v>33</v>
      </c>
      <c r="P126">
        <v>2014</v>
      </c>
    </row>
    <row r="127" spans="1:16" x14ac:dyDescent="0.2">
      <c r="A127" t="s">
        <v>16</v>
      </c>
      <c r="B127" t="s">
        <v>35</v>
      </c>
      <c r="C127" t="s">
        <v>29</v>
      </c>
      <c r="D127" t="s">
        <v>40</v>
      </c>
      <c r="E127">
        <v>1683</v>
      </c>
      <c r="F127">
        <v>260</v>
      </c>
      <c r="G127">
        <v>7</v>
      </c>
      <c r="H127">
        <v>11781</v>
      </c>
      <c r="I127">
        <v>589.04999999999995</v>
      </c>
      <c r="J127">
        <v>11191.95</v>
      </c>
      <c r="K127">
        <v>8415</v>
      </c>
      <c r="L127">
        <v>2776.95</v>
      </c>
      <c r="M127" s="2">
        <v>41821</v>
      </c>
      <c r="N127">
        <v>7</v>
      </c>
      <c r="O127" t="s">
        <v>31</v>
      </c>
      <c r="P127">
        <v>2014</v>
      </c>
    </row>
    <row r="128" spans="1:16" x14ac:dyDescent="0.2">
      <c r="A128" t="s">
        <v>16</v>
      </c>
      <c r="B128" t="s">
        <v>21</v>
      </c>
      <c r="C128" t="s">
        <v>29</v>
      </c>
      <c r="D128" t="s">
        <v>40</v>
      </c>
      <c r="E128">
        <v>1159</v>
      </c>
      <c r="F128">
        <v>260</v>
      </c>
      <c r="G128">
        <v>7</v>
      </c>
      <c r="H128">
        <v>8113</v>
      </c>
      <c r="I128">
        <v>405.65</v>
      </c>
      <c r="J128">
        <v>7707.35</v>
      </c>
      <c r="K128">
        <v>5795</v>
      </c>
      <c r="L128">
        <v>1912.35</v>
      </c>
      <c r="M128" s="2">
        <v>41548</v>
      </c>
      <c r="N128">
        <v>10</v>
      </c>
      <c r="O128" t="s">
        <v>33</v>
      </c>
      <c r="P128">
        <v>2013</v>
      </c>
    </row>
    <row r="129" spans="1:16" x14ac:dyDescent="0.2">
      <c r="A129" t="s">
        <v>16</v>
      </c>
      <c r="B129" t="s">
        <v>21</v>
      </c>
      <c r="C129" t="s">
        <v>18</v>
      </c>
      <c r="D129" t="s">
        <v>40</v>
      </c>
      <c r="E129">
        <v>1016</v>
      </c>
      <c r="F129">
        <v>3</v>
      </c>
      <c r="G129">
        <v>7</v>
      </c>
      <c r="H129">
        <v>7112</v>
      </c>
      <c r="I129">
        <v>355.6</v>
      </c>
      <c r="J129">
        <v>6756.4</v>
      </c>
      <c r="K129">
        <v>5080</v>
      </c>
      <c r="L129">
        <v>1676.4</v>
      </c>
      <c r="M129" s="2">
        <v>41579</v>
      </c>
      <c r="N129">
        <v>11</v>
      </c>
      <c r="O129" t="s">
        <v>36</v>
      </c>
      <c r="P129">
        <v>2013</v>
      </c>
    </row>
    <row r="130" spans="1:16" x14ac:dyDescent="0.2">
      <c r="A130" t="s">
        <v>16</v>
      </c>
      <c r="B130" t="s">
        <v>32</v>
      </c>
      <c r="C130" t="s">
        <v>18</v>
      </c>
      <c r="D130" t="s">
        <v>40</v>
      </c>
      <c r="E130">
        <v>570</v>
      </c>
      <c r="F130">
        <v>3</v>
      </c>
      <c r="G130">
        <v>7</v>
      </c>
      <c r="H130">
        <v>3990</v>
      </c>
      <c r="I130">
        <v>199.5</v>
      </c>
      <c r="J130">
        <v>3790.5</v>
      </c>
      <c r="K130">
        <v>2850</v>
      </c>
      <c r="L130">
        <v>940.5</v>
      </c>
      <c r="M130" s="2">
        <v>41974</v>
      </c>
      <c r="N130">
        <v>12</v>
      </c>
      <c r="O130" t="s">
        <v>27</v>
      </c>
      <c r="P130">
        <v>2014</v>
      </c>
    </row>
    <row r="131" spans="1:16" x14ac:dyDescent="0.2">
      <c r="A131" t="s">
        <v>16</v>
      </c>
      <c r="B131" t="s">
        <v>22</v>
      </c>
      <c r="C131" t="s">
        <v>18</v>
      </c>
      <c r="D131" t="s">
        <v>40</v>
      </c>
      <c r="E131">
        <v>2487</v>
      </c>
      <c r="F131">
        <v>3</v>
      </c>
      <c r="G131">
        <v>7</v>
      </c>
      <c r="H131">
        <v>17409</v>
      </c>
      <c r="I131">
        <v>870.45</v>
      </c>
      <c r="J131">
        <v>16538.55</v>
      </c>
      <c r="K131">
        <v>12435</v>
      </c>
      <c r="L131">
        <v>4103.55</v>
      </c>
      <c r="M131" s="2">
        <v>41974</v>
      </c>
      <c r="N131">
        <v>12</v>
      </c>
      <c r="O131" t="s">
        <v>27</v>
      </c>
      <c r="P131">
        <v>2014</v>
      </c>
    </row>
    <row r="132" spans="1:16" x14ac:dyDescent="0.2">
      <c r="A132" t="s">
        <v>16</v>
      </c>
      <c r="B132" t="s">
        <v>32</v>
      </c>
      <c r="C132" t="s">
        <v>25</v>
      </c>
      <c r="D132" t="s">
        <v>40</v>
      </c>
      <c r="E132">
        <v>2327</v>
      </c>
      <c r="F132">
        <v>10</v>
      </c>
      <c r="G132">
        <v>7</v>
      </c>
      <c r="H132">
        <v>16289</v>
      </c>
      <c r="I132">
        <v>814.45</v>
      </c>
      <c r="J132">
        <v>15474.55</v>
      </c>
      <c r="K132">
        <v>11635</v>
      </c>
      <c r="L132">
        <v>3839.55</v>
      </c>
      <c r="M132" s="2">
        <v>41760</v>
      </c>
      <c r="N132">
        <v>5</v>
      </c>
      <c r="O132" t="s">
        <v>38</v>
      </c>
      <c r="P132">
        <v>2014</v>
      </c>
    </row>
    <row r="133" spans="1:16" x14ac:dyDescent="0.2">
      <c r="A133" t="s">
        <v>16</v>
      </c>
      <c r="B133" t="s">
        <v>22</v>
      </c>
      <c r="C133" t="s">
        <v>25</v>
      </c>
      <c r="D133" t="s">
        <v>40</v>
      </c>
      <c r="E133">
        <v>2136</v>
      </c>
      <c r="F133">
        <v>10</v>
      </c>
      <c r="G133">
        <v>7</v>
      </c>
      <c r="H133">
        <v>14952</v>
      </c>
      <c r="I133">
        <v>747.6</v>
      </c>
      <c r="J133">
        <v>14204.4</v>
      </c>
      <c r="K133">
        <v>10680</v>
      </c>
      <c r="L133">
        <v>3524.4</v>
      </c>
      <c r="M133" s="2">
        <v>41609</v>
      </c>
      <c r="N133">
        <v>12</v>
      </c>
      <c r="O133" t="s">
        <v>27</v>
      </c>
      <c r="P133">
        <v>2013</v>
      </c>
    </row>
    <row r="134" spans="1:16" x14ac:dyDescent="0.2">
      <c r="A134" t="s">
        <v>16</v>
      </c>
      <c r="B134" t="s">
        <v>32</v>
      </c>
      <c r="C134" t="s">
        <v>28</v>
      </c>
      <c r="D134" t="s">
        <v>40</v>
      </c>
      <c r="E134">
        <v>570</v>
      </c>
      <c r="F134">
        <v>250</v>
      </c>
      <c r="G134">
        <v>7</v>
      </c>
      <c r="H134">
        <v>3990</v>
      </c>
      <c r="I134">
        <v>199.5</v>
      </c>
      <c r="J134">
        <v>3790.5</v>
      </c>
      <c r="K134">
        <v>2850</v>
      </c>
      <c r="L134">
        <v>940.5</v>
      </c>
      <c r="M134" s="2">
        <v>41974</v>
      </c>
      <c r="N134">
        <v>12</v>
      </c>
      <c r="O134" t="s">
        <v>27</v>
      </c>
      <c r="P134">
        <v>2014</v>
      </c>
    </row>
    <row r="135" spans="1:16" x14ac:dyDescent="0.2">
      <c r="A135" t="s">
        <v>16</v>
      </c>
      <c r="B135" t="s">
        <v>22</v>
      </c>
      <c r="C135" t="s">
        <v>28</v>
      </c>
      <c r="D135" t="s">
        <v>40</v>
      </c>
      <c r="E135">
        <v>2487</v>
      </c>
      <c r="F135">
        <v>250</v>
      </c>
      <c r="G135">
        <v>7</v>
      </c>
      <c r="H135">
        <v>17409</v>
      </c>
      <c r="I135">
        <v>870.45</v>
      </c>
      <c r="J135">
        <v>16538.55</v>
      </c>
      <c r="K135">
        <v>12435</v>
      </c>
      <c r="L135">
        <v>4103.55</v>
      </c>
      <c r="M135" s="2">
        <v>41974</v>
      </c>
      <c r="N135">
        <v>12</v>
      </c>
      <c r="O135" t="s">
        <v>27</v>
      </c>
      <c r="P135">
        <v>2014</v>
      </c>
    </row>
    <row r="136" spans="1:16" x14ac:dyDescent="0.2">
      <c r="A136" t="s">
        <v>16</v>
      </c>
      <c r="B136" t="s">
        <v>32</v>
      </c>
      <c r="C136" t="s">
        <v>18</v>
      </c>
      <c r="D136" t="s">
        <v>40</v>
      </c>
      <c r="E136">
        <v>263</v>
      </c>
      <c r="F136">
        <v>3</v>
      </c>
      <c r="G136">
        <v>7</v>
      </c>
      <c r="H136">
        <v>1841</v>
      </c>
      <c r="I136">
        <v>110.46</v>
      </c>
      <c r="J136">
        <v>1730.54</v>
      </c>
      <c r="K136">
        <v>1315</v>
      </c>
      <c r="L136">
        <v>415.54</v>
      </c>
      <c r="M136" s="2">
        <v>41579</v>
      </c>
      <c r="N136">
        <v>11</v>
      </c>
      <c r="O136" t="s">
        <v>36</v>
      </c>
      <c r="P136">
        <v>2013</v>
      </c>
    </row>
    <row r="137" spans="1:16" x14ac:dyDescent="0.2">
      <c r="A137" t="s">
        <v>16</v>
      </c>
      <c r="B137" t="s">
        <v>22</v>
      </c>
      <c r="C137" t="s">
        <v>23</v>
      </c>
      <c r="D137" t="s">
        <v>40</v>
      </c>
      <c r="E137">
        <v>1403</v>
      </c>
      <c r="F137">
        <v>5</v>
      </c>
      <c r="G137">
        <v>7</v>
      </c>
      <c r="H137">
        <v>9821</v>
      </c>
      <c r="I137">
        <v>589.26</v>
      </c>
      <c r="J137">
        <v>9231.74</v>
      </c>
      <c r="K137">
        <v>7015</v>
      </c>
      <c r="L137">
        <v>2216.7399999999998</v>
      </c>
      <c r="M137" s="2">
        <v>41548</v>
      </c>
      <c r="N137">
        <v>10</v>
      </c>
      <c r="O137" t="s">
        <v>33</v>
      </c>
      <c r="P137">
        <v>2013</v>
      </c>
    </row>
    <row r="138" spans="1:16" x14ac:dyDescent="0.2">
      <c r="A138" t="s">
        <v>16</v>
      </c>
      <c r="B138" t="s">
        <v>35</v>
      </c>
      <c r="C138" t="s">
        <v>34</v>
      </c>
      <c r="D138" t="s">
        <v>40</v>
      </c>
      <c r="E138">
        <v>1498</v>
      </c>
      <c r="F138">
        <v>120</v>
      </c>
      <c r="G138">
        <v>7</v>
      </c>
      <c r="H138">
        <v>10486</v>
      </c>
      <c r="I138">
        <v>629.16</v>
      </c>
      <c r="J138">
        <v>9856.84</v>
      </c>
      <c r="K138">
        <v>7490</v>
      </c>
      <c r="L138">
        <v>2366.84</v>
      </c>
      <c r="M138" s="2">
        <v>41791</v>
      </c>
      <c r="N138">
        <v>6</v>
      </c>
      <c r="O138" t="s">
        <v>24</v>
      </c>
      <c r="P138">
        <v>2014</v>
      </c>
    </row>
    <row r="139" spans="1:16" x14ac:dyDescent="0.2">
      <c r="A139" t="s">
        <v>16</v>
      </c>
      <c r="B139" t="s">
        <v>35</v>
      </c>
      <c r="C139" t="s">
        <v>28</v>
      </c>
      <c r="D139" t="s">
        <v>40</v>
      </c>
      <c r="E139">
        <v>1498</v>
      </c>
      <c r="F139">
        <v>250</v>
      </c>
      <c r="G139">
        <v>7</v>
      </c>
      <c r="H139">
        <v>10486</v>
      </c>
      <c r="I139">
        <v>629.16</v>
      </c>
      <c r="J139">
        <v>9856.84</v>
      </c>
      <c r="K139">
        <v>7490</v>
      </c>
      <c r="L139">
        <v>2366.84</v>
      </c>
      <c r="M139" s="2">
        <v>41791</v>
      </c>
      <c r="N139">
        <v>6</v>
      </c>
      <c r="O139" t="s">
        <v>24</v>
      </c>
      <c r="P139">
        <v>2014</v>
      </c>
    </row>
    <row r="140" spans="1:16" x14ac:dyDescent="0.2">
      <c r="A140" t="s">
        <v>16</v>
      </c>
      <c r="B140" t="s">
        <v>22</v>
      </c>
      <c r="C140" t="s">
        <v>29</v>
      </c>
      <c r="D140" t="s">
        <v>40</v>
      </c>
      <c r="E140">
        <v>1403</v>
      </c>
      <c r="F140">
        <v>260</v>
      </c>
      <c r="G140">
        <v>7</v>
      </c>
      <c r="H140">
        <v>9821</v>
      </c>
      <c r="I140">
        <v>589.26</v>
      </c>
      <c r="J140">
        <v>9231.74</v>
      </c>
      <c r="K140">
        <v>7015</v>
      </c>
      <c r="L140">
        <v>2216.7399999999998</v>
      </c>
      <c r="M140" s="2">
        <v>41548</v>
      </c>
      <c r="N140">
        <v>10</v>
      </c>
      <c r="O140" t="s">
        <v>33</v>
      </c>
      <c r="P140">
        <v>2013</v>
      </c>
    </row>
    <row r="141" spans="1:16" x14ac:dyDescent="0.2">
      <c r="A141" t="s">
        <v>16</v>
      </c>
      <c r="B141" t="s">
        <v>35</v>
      </c>
      <c r="C141" t="s">
        <v>34</v>
      </c>
      <c r="D141" t="s">
        <v>40</v>
      </c>
      <c r="E141">
        <v>1333</v>
      </c>
      <c r="F141">
        <v>120</v>
      </c>
      <c r="G141">
        <v>7</v>
      </c>
      <c r="H141">
        <v>9331</v>
      </c>
      <c r="I141">
        <v>559.86</v>
      </c>
      <c r="J141">
        <v>8771.14</v>
      </c>
      <c r="K141">
        <v>6665</v>
      </c>
      <c r="L141">
        <v>2106.14</v>
      </c>
      <c r="M141" s="2">
        <v>41944</v>
      </c>
      <c r="N141">
        <v>11</v>
      </c>
      <c r="O141" t="s">
        <v>36</v>
      </c>
      <c r="P141">
        <v>2014</v>
      </c>
    </row>
    <row r="142" spans="1:16" x14ac:dyDescent="0.2">
      <c r="A142" t="s">
        <v>16</v>
      </c>
      <c r="B142" t="s">
        <v>22</v>
      </c>
      <c r="C142" t="s">
        <v>25</v>
      </c>
      <c r="D142" t="s">
        <v>40</v>
      </c>
      <c r="E142">
        <v>1031</v>
      </c>
      <c r="F142">
        <v>10</v>
      </c>
      <c r="G142">
        <v>7</v>
      </c>
      <c r="H142">
        <v>7217</v>
      </c>
      <c r="I142">
        <v>505.19</v>
      </c>
      <c r="J142">
        <v>6711.81</v>
      </c>
      <c r="K142">
        <v>5155</v>
      </c>
      <c r="L142">
        <v>1556.81</v>
      </c>
      <c r="M142" s="2">
        <v>41518</v>
      </c>
      <c r="N142">
        <v>9</v>
      </c>
      <c r="O142" t="s">
        <v>39</v>
      </c>
      <c r="P142">
        <v>2013</v>
      </c>
    </row>
    <row r="143" spans="1:16" x14ac:dyDescent="0.2">
      <c r="A143" t="s">
        <v>16</v>
      </c>
      <c r="B143" t="s">
        <v>17</v>
      </c>
      <c r="C143" t="s">
        <v>34</v>
      </c>
      <c r="D143" t="s">
        <v>40</v>
      </c>
      <c r="E143">
        <v>1135</v>
      </c>
      <c r="F143">
        <v>120</v>
      </c>
      <c r="G143">
        <v>7</v>
      </c>
      <c r="H143">
        <v>7945</v>
      </c>
      <c r="I143">
        <v>556.15</v>
      </c>
      <c r="J143">
        <v>7388.85</v>
      </c>
      <c r="K143">
        <v>5675</v>
      </c>
      <c r="L143">
        <v>1713.85</v>
      </c>
      <c r="M143" s="2">
        <v>41791</v>
      </c>
      <c r="N143">
        <v>6</v>
      </c>
      <c r="O143" t="s">
        <v>24</v>
      </c>
      <c r="P143">
        <v>2014</v>
      </c>
    </row>
    <row r="144" spans="1:16" x14ac:dyDescent="0.2">
      <c r="A144" t="s">
        <v>16</v>
      </c>
      <c r="B144" t="s">
        <v>32</v>
      </c>
      <c r="C144" t="s">
        <v>34</v>
      </c>
      <c r="D144" t="s">
        <v>40</v>
      </c>
      <c r="E144">
        <v>547</v>
      </c>
      <c r="F144">
        <v>120</v>
      </c>
      <c r="G144">
        <v>7</v>
      </c>
      <c r="H144">
        <v>3829</v>
      </c>
      <c r="I144">
        <v>268.02999999999997</v>
      </c>
      <c r="J144">
        <v>3560.97</v>
      </c>
      <c r="K144">
        <v>2735</v>
      </c>
      <c r="L144">
        <v>825.97</v>
      </c>
      <c r="M144" s="2">
        <v>41944</v>
      </c>
      <c r="N144">
        <v>11</v>
      </c>
      <c r="O144" t="s">
        <v>36</v>
      </c>
      <c r="P144">
        <v>2014</v>
      </c>
    </row>
    <row r="145" spans="1:16" x14ac:dyDescent="0.2">
      <c r="A145" t="s">
        <v>16</v>
      </c>
      <c r="B145" t="s">
        <v>17</v>
      </c>
      <c r="C145" t="s">
        <v>34</v>
      </c>
      <c r="D145" t="s">
        <v>40</v>
      </c>
      <c r="E145">
        <v>1582</v>
      </c>
      <c r="F145">
        <v>120</v>
      </c>
      <c r="G145">
        <v>7</v>
      </c>
      <c r="H145">
        <v>11074</v>
      </c>
      <c r="I145">
        <v>775.18</v>
      </c>
      <c r="J145">
        <v>10298.82</v>
      </c>
      <c r="K145">
        <v>7910</v>
      </c>
      <c r="L145">
        <v>2388.8200000000002</v>
      </c>
      <c r="M145" s="2">
        <v>41974</v>
      </c>
      <c r="N145">
        <v>12</v>
      </c>
      <c r="O145" t="s">
        <v>27</v>
      </c>
      <c r="P145">
        <v>2014</v>
      </c>
    </row>
    <row r="146" spans="1:16" x14ac:dyDescent="0.2">
      <c r="A146" t="s">
        <v>16</v>
      </c>
      <c r="B146" t="s">
        <v>17</v>
      </c>
      <c r="C146" t="s">
        <v>28</v>
      </c>
      <c r="D146" t="s">
        <v>40</v>
      </c>
      <c r="E146">
        <v>1582</v>
      </c>
      <c r="F146">
        <v>250</v>
      </c>
      <c r="G146">
        <v>7</v>
      </c>
      <c r="H146">
        <v>11074</v>
      </c>
      <c r="I146">
        <v>775.18</v>
      </c>
      <c r="J146">
        <v>10298.82</v>
      </c>
      <c r="K146">
        <v>7910</v>
      </c>
      <c r="L146">
        <v>2388.8200000000002</v>
      </c>
      <c r="M146" s="2">
        <v>41974</v>
      </c>
      <c r="N146">
        <v>12</v>
      </c>
      <c r="O146" t="s">
        <v>27</v>
      </c>
      <c r="P146">
        <v>2014</v>
      </c>
    </row>
    <row r="147" spans="1:16" x14ac:dyDescent="0.2">
      <c r="A147" t="s">
        <v>16</v>
      </c>
      <c r="B147" t="s">
        <v>17</v>
      </c>
      <c r="C147" t="s">
        <v>29</v>
      </c>
      <c r="D147" t="s">
        <v>40</v>
      </c>
      <c r="E147">
        <v>1135</v>
      </c>
      <c r="F147">
        <v>260</v>
      </c>
      <c r="G147">
        <v>7</v>
      </c>
      <c r="H147">
        <v>7945</v>
      </c>
      <c r="I147">
        <v>556.15</v>
      </c>
      <c r="J147">
        <v>7388.85</v>
      </c>
      <c r="K147">
        <v>5675</v>
      </c>
      <c r="L147">
        <v>1713.85</v>
      </c>
      <c r="M147" s="2">
        <v>41791</v>
      </c>
      <c r="N147">
        <v>6</v>
      </c>
      <c r="O147" t="s">
        <v>24</v>
      </c>
      <c r="P147">
        <v>2014</v>
      </c>
    </row>
    <row r="148" spans="1:16" x14ac:dyDescent="0.2">
      <c r="A148" t="s">
        <v>16</v>
      </c>
      <c r="B148" t="s">
        <v>21</v>
      </c>
      <c r="C148" t="s">
        <v>25</v>
      </c>
      <c r="D148" t="s">
        <v>40</v>
      </c>
      <c r="E148">
        <v>2125</v>
      </c>
      <c r="F148">
        <v>10</v>
      </c>
      <c r="G148">
        <v>7</v>
      </c>
      <c r="H148">
        <v>14875</v>
      </c>
      <c r="I148">
        <v>1041.25</v>
      </c>
      <c r="J148">
        <v>13833.75</v>
      </c>
      <c r="K148">
        <v>10625</v>
      </c>
      <c r="L148">
        <v>3208.75</v>
      </c>
      <c r="M148" s="2">
        <v>41609</v>
      </c>
      <c r="N148">
        <v>12</v>
      </c>
      <c r="O148" t="s">
        <v>27</v>
      </c>
      <c r="P148">
        <v>2013</v>
      </c>
    </row>
    <row r="149" spans="1:16" x14ac:dyDescent="0.2">
      <c r="A149" t="s">
        <v>16</v>
      </c>
      <c r="B149" t="s">
        <v>17</v>
      </c>
      <c r="C149" t="s">
        <v>23</v>
      </c>
      <c r="D149" t="s">
        <v>40</v>
      </c>
      <c r="E149">
        <v>488</v>
      </c>
      <c r="F149">
        <v>5</v>
      </c>
      <c r="G149">
        <v>7</v>
      </c>
      <c r="H149">
        <v>3416</v>
      </c>
      <c r="I149">
        <v>273.27999999999997</v>
      </c>
      <c r="J149">
        <v>3142.72</v>
      </c>
      <c r="K149">
        <v>2440</v>
      </c>
      <c r="L149">
        <v>702.72</v>
      </c>
      <c r="M149" s="2">
        <v>41671</v>
      </c>
      <c r="N149">
        <v>2</v>
      </c>
      <c r="O149" t="s">
        <v>26</v>
      </c>
      <c r="P149">
        <v>2014</v>
      </c>
    </row>
    <row r="150" spans="1:16" x14ac:dyDescent="0.2">
      <c r="A150" t="s">
        <v>16</v>
      </c>
      <c r="B150" t="s">
        <v>17</v>
      </c>
      <c r="C150" t="s">
        <v>25</v>
      </c>
      <c r="D150" t="s">
        <v>40</v>
      </c>
      <c r="E150">
        <v>257</v>
      </c>
      <c r="F150">
        <v>10</v>
      </c>
      <c r="G150">
        <v>7</v>
      </c>
      <c r="H150">
        <v>1799</v>
      </c>
      <c r="I150">
        <v>143.91999999999999</v>
      </c>
      <c r="J150">
        <v>1655.08</v>
      </c>
      <c r="K150">
        <v>1285</v>
      </c>
      <c r="L150">
        <v>370.08</v>
      </c>
      <c r="M150" s="2">
        <v>41760</v>
      </c>
      <c r="N150">
        <v>5</v>
      </c>
      <c r="O150" t="s">
        <v>38</v>
      </c>
      <c r="P150">
        <v>2014</v>
      </c>
    </row>
    <row r="151" spans="1:16" x14ac:dyDescent="0.2">
      <c r="A151" t="s">
        <v>16</v>
      </c>
      <c r="B151" t="s">
        <v>21</v>
      </c>
      <c r="C151" t="s">
        <v>25</v>
      </c>
      <c r="D151" t="s">
        <v>40</v>
      </c>
      <c r="E151">
        <v>1259</v>
      </c>
      <c r="F151">
        <v>10</v>
      </c>
      <c r="G151">
        <v>7</v>
      </c>
      <c r="H151">
        <v>8813</v>
      </c>
      <c r="I151">
        <v>705.04</v>
      </c>
      <c r="J151">
        <v>8107.96</v>
      </c>
      <c r="K151">
        <v>6295</v>
      </c>
      <c r="L151">
        <v>1812.96</v>
      </c>
      <c r="M151" s="2">
        <v>41730</v>
      </c>
      <c r="N151">
        <v>4</v>
      </c>
      <c r="O151" t="s">
        <v>37</v>
      </c>
      <c r="P151">
        <v>2014</v>
      </c>
    </row>
    <row r="152" spans="1:16" x14ac:dyDescent="0.2">
      <c r="A152" t="s">
        <v>16</v>
      </c>
      <c r="B152" t="s">
        <v>21</v>
      </c>
      <c r="C152" t="s">
        <v>25</v>
      </c>
      <c r="D152" t="s">
        <v>40</v>
      </c>
      <c r="E152">
        <v>1095</v>
      </c>
      <c r="F152">
        <v>10</v>
      </c>
      <c r="G152">
        <v>7</v>
      </c>
      <c r="H152">
        <v>7665</v>
      </c>
      <c r="I152">
        <v>613.20000000000005</v>
      </c>
      <c r="J152">
        <v>7051.8</v>
      </c>
      <c r="K152">
        <v>5475</v>
      </c>
      <c r="L152">
        <v>1576.8</v>
      </c>
      <c r="M152" s="2">
        <v>41760</v>
      </c>
      <c r="N152">
        <v>5</v>
      </c>
      <c r="O152" t="s">
        <v>38</v>
      </c>
      <c r="P152">
        <v>2014</v>
      </c>
    </row>
    <row r="153" spans="1:16" x14ac:dyDescent="0.2">
      <c r="A153" t="s">
        <v>16</v>
      </c>
      <c r="B153" t="s">
        <v>32</v>
      </c>
      <c r="C153" t="s">
        <v>25</v>
      </c>
      <c r="D153" t="s">
        <v>40</v>
      </c>
      <c r="E153">
        <v>678</v>
      </c>
      <c r="F153">
        <v>10</v>
      </c>
      <c r="G153">
        <v>7</v>
      </c>
      <c r="H153">
        <v>4746</v>
      </c>
      <c r="I153">
        <v>379.68</v>
      </c>
      <c r="J153">
        <v>4366.32</v>
      </c>
      <c r="K153">
        <v>3390</v>
      </c>
      <c r="L153">
        <v>976.32</v>
      </c>
      <c r="M153" s="2">
        <v>41852</v>
      </c>
      <c r="N153">
        <v>8</v>
      </c>
      <c r="O153" t="s">
        <v>41</v>
      </c>
      <c r="P153">
        <v>2014</v>
      </c>
    </row>
    <row r="154" spans="1:16" x14ac:dyDescent="0.2">
      <c r="A154" t="s">
        <v>16</v>
      </c>
      <c r="B154" t="s">
        <v>21</v>
      </c>
      <c r="C154" t="s">
        <v>25</v>
      </c>
      <c r="D154" t="s">
        <v>40</v>
      </c>
      <c r="E154">
        <v>1598</v>
      </c>
      <c r="F154">
        <v>10</v>
      </c>
      <c r="G154">
        <v>7</v>
      </c>
      <c r="H154">
        <v>11186</v>
      </c>
      <c r="I154">
        <v>894.88</v>
      </c>
      <c r="J154">
        <v>10291.120000000001</v>
      </c>
      <c r="K154">
        <v>7990</v>
      </c>
      <c r="L154">
        <v>2301.12</v>
      </c>
      <c r="M154" s="2">
        <v>41852</v>
      </c>
      <c r="N154">
        <v>8</v>
      </c>
      <c r="O154" t="s">
        <v>41</v>
      </c>
      <c r="P154">
        <v>2014</v>
      </c>
    </row>
    <row r="155" spans="1:16" x14ac:dyDescent="0.2">
      <c r="A155" t="s">
        <v>16</v>
      </c>
      <c r="B155" t="s">
        <v>21</v>
      </c>
      <c r="C155" t="s">
        <v>25</v>
      </c>
      <c r="D155" t="s">
        <v>40</v>
      </c>
      <c r="E155">
        <v>2409</v>
      </c>
      <c r="F155">
        <v>10</v>
      </c>
      <c r="G155">
        <v>7</v>
      </c>
      <c r="H155">
        <v>16863</v>
      </c>
      <c r="I155">
        <v>1349.04</v>
      </c>
      <c r="J155">
        <v>15513.96</v>
      </c>
      <c r="K155">
        <v>12045</v>
      </c>
      <c r="L155">
        <v>3468.96</v>
      </c>
      <c r="M155" s="2">
        <v>41518</v>
      </c>
      <c r="N155">
        <v>9</v>
      </c>
      <c r="O155" t="s">
        <v>39</v>
      </c>
      <c r="P155">
        <v>2013</v>
      </c>
    </row>
    <row r="156" spans="1:16" x14ac:dyDescent="0.2">
      <c r="A156" t="s">
        <v>16</v>
      </c>
      <c r="B156" t="s">
        <v>35</v>
      </c>
      <c r="C156" t="s">
        <v>25</v>
      </c>
      <c r="D156" t="s">
        <v>40</v>
      </c>
      <c r="E156">
        <v>1946</v>
      </c>
      <c r="F156">
        <v>10</v>
      </c>
      <c r="G156">
        <v>7</v>
      </c>
      <c r="H156">
        <v>13622</v>
      </c>
      <c r="I156">
        <v>1089.76</v>
      </c>
      <c r="J156">
        <v>12532.24</v>
      </c>
      <c r="K156">
        <v>9730</v>
      </c>
      <c r="L156">
        <v>2802.24</v>
      </c>
      <c r="M156" s="2">
        <v>41609</v>
      </c>
      <c r="N156">
        <v>12</v>
      </c>
      <c r="O156" t="s">
        <v>27</v>
      </c>
      <c r="P156">
        <v>2013</v>
      </c>
    </row>
    <row r="157" spans="1:16" x14ac:dyDescent="0.2">
      <c r="A157" t="s">
        <v>16</v>
      </c>
      <c r="B157" t="s">
        <v>32</v>
      </c>
      <c r="C157" t="s">
        <v>34</v>
      </c>
      <c r="D157" t="s">
        <v>40</v>
      </c>
      <c r="E157">
        <v>2907</v>
      </c>
      <c r="F157">
        <v>120</v>
      </c>
      <c r="G157">
        <v>7</v>
      </c>
      <c r="H157">
        <v>20349</v>
      </c>
      <c r="I157">
        <v>1627.92</v>
      </c>
      <c r="J157">
        <v>18721.080000000002</v>
      </c>
      <c r="K157">
        <v>14535</v>
      </c>
      <c r="L157">
        <v>4186.08</v>
      </c>
      <c r="M157" s="2">
        <v>41791</v>
      </c>
      <c r="N157">
        <v>6</v>
      </c>
      <c r="O157" t="s">
        <v>24</v>
      </c>
      <c r="P157">
        <v>2014</v>
      </c>
    </row>
    <row r="158" spans="1:16" x14ac:dyDescent="0.2">
      <c r="A158" t="s">
        <v>16</v>
      </c>
      <c r="B158" t="s">
        <v>21</v>
      </c>
      <c r="C158" t="s">
        <v>34</v>
      </c>
      <c r="D158" t="s">
        <v>40</v>
      </c>
      <c r="E158">
        <v>2338</v>
      </c>
      <c r="F158">
        <v>120</v>
      </c>
      <c r="G158">
        <v>7</v>
      </c>
      <c r="H158">
        <v>16366</v>
      </c>
      <c r="I158">
        <v>1309.28</v>
      </c>
      <c r="J158">
        <v>15056.72</v>
      </c>
      <c r="K158">
        <v>11690</v>
      </c>
      <c r="L158">
        <v>3366.72</v>
      </c>
      <c r="M158" s="2">
        <v>41791</v>
      </c>
      <c r="N158">
        <v>6</v>
      </c>
      <c r="O158" t="s">
        <v>24</v>
      </c>
      <c r="P158">
        <v>2014</v>
      </c>
    </row>
    <row r="159" spans="1:16" x14ac:dyDescent="0.2">
      <c r="A159" t="s">
        <v>16</v>
      </c>
      <c r="B159" t="s">
        <v>21</v>
      </c>
      <c r="C159" t="s">
        <v>28</v>
      </c>
      <c r="D159" t="s">
        <v>40</v>
      </c>
      <c r="E159">
        <v>2338</v>
      </c>
      <c r="F159">
        <v>250</v>
      </c>
      <c r="G159">
        <v>7</v>
      </c>
      <c r="H159">
        <v>16366</v>
      </c>
      <c r="I159">
        <v>1309.28</v>
      </c>
      <c r="J159">
        <v>15056.72</v>
      </c>
      <c r="K159">
        <v>11690</v>
      </c>
      <c r="L159">
        <v>3366.72</v>
      </c>
      <c r="M159" s="2">
        <v>41791</v>
      </c>
      <c r="N159">
        <v>6</v>
      </c>
      <c r="O159" t="s">
        <v>24</v>
      </c>
      <c r="P159">
        <v>2014</v>
      </c>
    </row>
    <row r="160" spans="1:16" x14ac:dyDescent="0.2">
      <c r="A160" t="s">
        <v>16</v>
      </c>
      <c r="B160" t="s">
        <v>32</v>
      </c>
      <c r="C160" t="s">
        <v>29</v>
      </c>
      <c r="D160" t="s">
        <v>40</v>
      </c>
      <c r="E160">
        <v>2907</v>
      </c>
      <c r="F160">
        <v>260</v>
      </c>
      <c r="G160">
        <v>7</v>
      </c>
      <c r="H160">
        <v>20349</v>
      </c>
      <c r="I160">
        <v>1627.92</v>
      </c>
      <c r="J160">
        <v>18721.080000000002</v>
      </c>
      <c r="K160">
        <v>14535</v>
      </c>
      <c r="L160">
        <v>4186.08</v>
      </c>
      <c r="M160" s="2">
        <v>41791</v>
      </c>
      <c r="N160">
        <v>6</v>
      </c>
      <c r="O160" t="s">
        <v>24</v>
      </c>
      <c r="P160">
        <v>2014</v>
      </c>
    </row>
    <row r="161" spans="1:16" x14ac:dyDescent="0.2">
      <c r="A161" t="s">
        <v>16</v>
      </c>
      <c r="B161" t="s">
        <v>17</v>
      </c>
      <c r="C161" t="s">
        <v>23</v>
      </c>
      <c r="D161" t="s">
        <v>40</v>
      </c>
      <c r="E161">
        <v>1611</v>
      </c>
      <c r="F161">
        <v>5</v>
      </c>
      <c r="G161">
        <v>7</v>
      </c>
      <c r="H161">
        <v>11277</v>
      </c>
      <c r="I161">
        <v>1014.93</v>
      </c>
      <c r="J161">
        <v>10262.07</v>
      </c>
      <c r="K161">
        <v>8055</v>
      </c>
      <c r="L161">
        <v>2207.0700000000002</v>
      </c>
      <c r="M161" s="2">
        <v>41609</v>
      </c>
      <c r="N161">
        <v>12</v>
      </c>
      <c r="O161" t="s">
        <v>27</v>
      </c>
      <c r="P161">
        <v>2013</v>
      </c>
    </row>
    <row r="162" spans="1:16" x14ac:dyDescent="0.2">
      <c r="A162" t="s">
        <v>16</v>
      </c>
      <c r="B162" t="s">
        <v>17</v>
      </c>
      <c r="C162" t="s">
        <v>18</v>
      </c>
      <c r="D162" t="s">
        <v>40</v>
      </c>
      <c r="E162">
        <v>819</v>
      </c>
      <c r="F162">
        <v>3</v>
      </c>
      <c r="G162">
        <v>7</v>
      </c>
      <c r="H162">
        <v>5733</v>
      </c>
      <c r="I162">
        <v>515.97</v>
      </c>
      <c r="J162">
        <v>5217.03</v>
      </c>
      <c r="K162">
        <v>4095</v>
      </c>
      <c r="L162">
        <v>1122.03</v>
      </c>
      <c r="M162" s="2">
        <v>41821</v>
      </c>
      <c r="N162">
        <v>7</v>
      </c>
      <c r="O162" t="s">
        <v>31</v>
      </c>
      <c r="P162">
        <v>2014</v>
      </c>
    </row>
    <row r="163" spans="1:16" x14ac:dyDescent="0.2">
      <c r="A163" t="s">
        <v>16</v>
      </c>
      <c r="B163" t="s">
        <v>35</v>
      </c>
      <c r="C163" t="s">
        <v>18</v>
      </c>
      <c r="D163" t="s">
        <v>40</v>
      </c>
      <c r="E163">
        <v>521</v>
      </c>
      <c r="F163">
        <v>3</v>
      </c>
      <c r="G163">
        <v>7</v>
      </c>
      <c r="H163">
        <v>3647</v>
      </c>
      <c r="I163">
        <v>328.23</v>
      </c>
      <c r="J163">
        <v>3318.77</v>
      </c>
      <c r="K163">
        <v>2605</v>
      </c>
      <c r="L163">
        <v>713.77</v>
      </c>
      <c r="M163" s="2">
        <v>41974</v>
      </c>
      <c r="N163">
        <v>12</v>
      </c>
      <c r="O163" t="s">
        <v>27</v>
      </c>
      <c r="P163">
        <v>2014</v>
      </c>
    </row>
    <row r="164" spans="1:16" x14ac:dyDescent="0.2">
      <c r="A164" t="s">
        <v>16</v>
      </c>
      <c r="B164" t="s">
        <v>21</v>
      </c>
      <c r="C164" t="s">
        <v>25</v>
      </c>
      <c r="D164" t="s">
        <v>40</v>
      </c>
      <c r="E164">
        <v>360</v>
      </c>
      <c r="F164">
        <v>10</v>
      </c>
      <c r="G164">
        <v>7</v>
      </c>
      <c r="H164">
        <v>2520</v>
      </c>
      <c r="I164">
        <v>226.8</v>
      </c>
      <c r="J164">
        <v>2293.1999999999998</v>
      </c>
      <c r="K164">
        <v>1800</v>
      </c>
      <c r="L164">
        <v>493.2</v>
      </c>
      <c r="M164" s="2">
        <v>41913</v>
      </c>
      <c r="N164">
        <v>10</v>
      </c>
      <c r="O164" t="s">
        <v>33</v>
      </c>
      <c r="P164">
        <v>2014</v>
      </c>
    </row>
    <row r="165" spans="1:16" x14ac:dyDescent="0.2">
      <c r="A165" t="s">
        <v>16</v>
      </c>
      <c r="B165" t="s">
        <v>21</v>
      </c>
      <c r="C165" t="s">
        <v>28</v>
      </c>
      <c r="D165" t="s">
        <v>40</v>
      </c>
      <c r="E165">
        <v>360</v>
      </c>
      <c r="F165">
        <v>250</v>
      </c>
      <c r="G165">
        <v>7</v>
      </c>
      <c r="H165">
        <v>2520</v>
      </c>
      <c r="I165">
        <v>226.8</v>
      </c>
      <c r="J165">
        <v>2293.1999999999998</v>
      </c>
      <c r="K165">
        <v>1800</v>
      </c>
      <c r="L165">
        <v>493.2</v>
      </c>
      <c r="M165" s="2">
        <v>41913</v>
      </c>
      <c r="N165">
        <v>10</v>
      </c>
      <c r="O165" t="s">
        <v>33</v>
      </c>
      <c r="P165">
        <v>2014</v>
      </c>
    </row>
    <row r="166" spans="1:16" x14ac:dyDescent="0.2">
      <c r="A166" t="s">
        <v>16</v>
      </c>
      <c r="B166" t="s">
        <v>35</v>
      </c>
      <c r="C166" t="s">
        <v>28</v>
      </c>
      <c r="D166" t="s">
        <v>40</v>
      </c>
      <c r="E166">
        <v>521</v>
      </c>
      <c r="F166">
        <v>250</v>
      </c>
      <c r="G166">
        <v>7</v>
      </c>
      <c r="H166">
        <v>3647</v>
      </c>
      <c r="I166">
        <v>328.23</v>
      </c>
      <c r="J166">
        <v>3318.77</v>
      </c>
      <c r="K166">
        <v>2605</v>
      </c>
      <c r="L166">
        <v>713.77</v>
      </c>
      <c r="M166" s="2">
        <v>41974</v>
      </c>
      <c r="N166">
        <v>12</v>
      </c>
      <c r="O166" t="s">
        <v>27</v>
      </c>
      <c r="P166">
        <v>2014</v>
      </c>
    </row>
    <row r="167" spans="1:16" x14ac:dyDescent="0.2">
      <c r="A167" t="s">
        <v>16</v>
      </c>
      <c r="B167" t="s">
        <v>32</v>
      </c>
      <c r="C167" t="s">
        <v>23</v>
      </c>
      <c r="D167" t="s">
        <v>19</v>
      </c>
      <c r="E167">
        <v>2328</v>
      </c>
      <c r="F167">
        <v>5</v>
      </c>
      <c r="G167">
        <v>7</v>
      </c>
      <c r="H167">
        <v>16296</v>
      </c>
      <c r="I167">
        <v>1629.6</v>
      </c>
      <c r="J167">
        <v>14666.4</v>
      </c>
      <c r="K167">
        <v>11640</v>
      </c>
      <c r="L167">
        <v>3026.4</v>
      </c>
      <c r="M167" s="2">
        <v>41883</v>
      </c>
      <c r="N167">
        <v>9</v>
      </c>
      <c r="O167" t="s">
        <v>39</v>
      </c>
      <c r="P167">
        <v>2014</v>
      </c>
    </row>
    <row r="168" spans="1:16" x14ac:dyDescent="0.2">
      <c r="A168" t="s">
        <v>16</v>
      </c>
      <c r="B168" t="s">
        <v>21</v>
      </c>
      <c r="C168" t="s">
        <v>34</v>
      </c>
      <c r="D168" t="s">
        <v>19</v>
      </c>
      <c r="E168">
        <v>2665</v>
      </c>
      <c r="F168">
        <v>120</v>
      </c>
      <c r="G168">
        <v>7</v>
      </c>
      <c r="H168">
        <v>18655</v>
      </c>
      <c r="I168">
        <v>1865.5</v>
      </c>
      <c r="J168">
        <v>16789.5</v>
      </c>
      <c r="K168">
        <v>13325</v>
      </c>
      <c r="L168">
        <v>3464.5</v>
      </c>
      <c r="M168" s="2">
        <v>41944</v>
      </c>
      <c r="N168">
        <v>11</v>
      </c>
      <c r="O168" t="s">
        <v>36</v>
      </c>
      <c r="P168">
        <v>2014</v>
      </c>
    </row>
    <row r="169" spans="1:16" x14ac:dyDescent="0.2">
      <c r="A169" t="s">
        <v>16</v>
      </c>
      <c r="B169" t="s">
        <v>22</v>
      </c>
      <c r="C169" t="s">
        <v>25</v>
      </c>
      <c r="D169" t="s">
        <v>19</v>
      </c>
      <c r="E169">
        <v>2532</v>
      </c>
      <c r="F169">
        <v>10</v>
      </c>
      <c r="G169">
        <v>7</v>
      </c>
      <c r="H169">
        <v>17724</v>
      </c>
      <c r="I169">
        <v>1949.64</v>
      </c>
      <c r="J169">
        <v>15774.36</v>
      </c>
      <c r="K169">
        <v>12660</v>
      </c>
      <c r="L169">
        <v>3114.36</v>
      </c>
      <c r="M169" s="2">
        <v>41730</v>
      </c>
      <c r="N169">
        <v>4</v>
      </c>
      <c r="O169" t="s">
        <v>37</v>
      </c>
      <c r="P169">
        <v>2014</v>
      </c>
    </row>
    <row r="170" spans="1:16" x14ac:dyDescent="0.2">
      <c r="A170" t="s">
        <v>16</v>
      </c>
      <c r="B170" t="s">
        <v>32</v>
      </c>
      <c r="C170" t="s">
        <v>28</v>
      </c>
      <c r="D170" t="s">
        <v>19</v>
      </c>
      <c r="E170">
        <v>1579</v>
      </c>
      <c r="F170">
        <v>250</v>
      </c>
      <c r="G170">
        <v>7</v>
      </c>
      <c r="H170">
        <v>11053</v>
      </c>
      <c r="I170">
        <v>1215.83</v>
      </c>
      <c r="J170">
        <v>9837.17</v>
      </c>
      <c r="K170">
        <v>7895</v>
      </c>
      <c r="L170">
        <v>1942.17</v>
      </c>
      <c r="M170" s="2">
        <v>41699</v>
      </c>
      <c r="N170">
        <v>3</v>
      </c>
      <c r="O170" t="s">
        <v>42</v>
      </c>
      <c r="P170">
        <v>2014</v>
      </c>
    </row>
    <row r="171" spans="1:16" x14ac:dyDescent="0.2">
      <c r="A171" t="s">
        <v>16</v>
      </c>
      <c r="B171" t="s">
        <v>35</v>
      </c>
      <c r="C171" t="s">
        <v>18</v>
      </c>
      <c r="D171" t="s">
        <v>19</v>
      </c>
      <c r="E171">
        <v>2706</v>
      </c>
      <c r="F171">
        <v>3</v>
      </c>
      <c r="G171">
        <v>7</v>
      </c>
      <c r="H171">
        <v>18942</v>
      </c>
      <c r="I171">
        <v>2083.62</v>
      </c>
      <c r="J171">
        <v>16858.38</v>
      </c>
      <c r="K171">
        <v>13530</v>
      </c>
      <c r="L171">
        <v>3328.38</v>
      </c>
      <c r="M171" s="2">
        <v>41579</v>
      </c>
      <c r="N171">
        <v>11</v>
      </c>
      <c r="O171" t="s">
        <v>36</v>
      </c>
      <c r="P171">
        <v>2013</v>
      </c>
    </row>
    <row r="172" spans="1:16" x14ac:dyDescent="0.2">
      <c r="A172" t="s">
        <v>16</v>
      </c>
      <c r="B172" t="s">
        <v>17</v>
      </c>
      <c r="C172" t="s">
        <v>34</v>
      </c>
      <c r="D172" t="s">
        <v>19</v>
      </c>
      <c r="E172">
        <v>1808</v>
      </c>
      <c r="F172">
        <v>120</v>
      </c>
      <c r="G172">
        <v>7</v>
      </c>
      <c r="H172">
        <v>12656</v>
      </c>
      <c r="I172">
        <v>1392.16</v>
      </c>
      <c r="J172">
        <v>11263.84</v>
      </c>
      <c r="K172">
        <v>9040</v>
      </c>
      <c r="L172">
        <v>2223.84</v>
      </c>
      <c r="M172" s="2">
        <v>41944</v>
      </c>
      <c r="N172">
        <v>11</v>
      </c>
      <c r="O172" t="s">
        <v>36</v>
      </c>
      <c r="P172">
        <v>2014</v>
      </c>
    </row>
    <row r="173" spans="1:16" x14ac:dyDescent="0.2">
      <c r="A173" t="s">
        <v>16</v>
      </c>
      <c r="B173" t="s">
        <v>32</v>
      </c>
      <c r="C173" t="s">
        <v>25</v>
      </c>
      <c r="D173" t="s">
        <v>19</v>
      </c>
      <c r="E173">
        <v>380</v>
      </c>
      <c r="F173">
        <v>10</v>
      </c>
      <c r="G173">
        <v>7</v>
      </c>
      <c r="H173">
        <v>2660</v>
      </c>
      <c r="I173">
        <v>292.60000000000002</v>
      </c>
      <c r="J173">
        <v>2367.4</v>
      </c>
      <c r="K173">
        <v>1900</v>
      </c>
      <c r="L173">
        <v>467.4</v>
      </c>
      <c r="M173" s="2">
        <v>41518</v>
      </c>
      <c r="N173">
        <v>9</v>
      </c>
      <c r="O173" t="s">
        <v>39</v>
      </c>
      <c r="P173">
        <v>2013</v>
      </c>
    </row>
    <row r="174" spans="1:16" x14ac:dyDescent="0.2">
      <c r="A174" t="s">
        <v>16</v>
      </c>
      <c r="B174" t="s">
        <v>35</v>
      </c>
      <c r="C174" t="s">
        <v>23</v>
      </c>
      <c r="D174" t="s">
        <v>19</v>
      </c>
      <c r="E174">
        <v>2420</v>
      </c>
      <c r="F174">
        <v>5</v>
      </c>
      <c r="G174">
        <v>7</v>
      </c>
      <c r="H174">
        <v>16940</v>
      </c>
      <c r="I174">
        <v>2032.8</v>
      </c>
      <c r="J174">
        <v>14907.2</v>
      </c>
      <c r="K174">
        <v>12100</v>
      </c>
      <c r="L174">
        <v>2807.2</v>
      </c>
      <c r="M174" s="2">
        <v>41883</v>
      </c>
      <c r="N174">
        <v>9</v>
      </c>
      <c r="O174" t="s">
        <v>39</v>
      </c>
      <c r="P174">
        <v>2014</v>
      </c>
    </row>
    <row r="175" spans="1:16" x14ac:dyDescent="0.2">
      <c r="A175" t="s">
        <v>16</v>
      </c>
      <c r="B175" t="s">
        <v>17</v>
      </c>
      <c r="C175" t="s">
        <v>23</v>
      </c>
      <c r="D175" t="s">
        <v>19</v>
      </c>
      <c r="E175">
        <v>2734</v>
      </c>
      <c r="F175">
        <v>5</v>
      </c>
      <c r="G175">
        <v>7</v>
      </c>
      <c r="H175">
        <v>19138</v>
      </c>
      <c r="I175">
        <v>2296.56</v>
      </c>
      <c r="J175">
        <v>16841.439999999999</v>
      </c>
      <c r="K175">
        <v>13670</v>
      </c>
      <c r="L175">
        <v>3171.44</v>
      </c>
      <c r="M175" s="2">
        <v>41913</v>
      </c>
      <c r="N175">
        <v>10</v>
      </c>
      <c r="O175" t="s">
        <v>33</v>
      </c>
      <c r="P175">
        <v>2014</v>
      </c>
    </row>
    <row r="176" spans="1:16" x14ac:dyDescent="0.2">
      <c r="A176" t="s">
        <v>16</v>
      </c>
      <c r="B176" t="s">
        <v>22</v>
      </c>
      <c r="C176" t="s">
        <v>29</v>
      </c>
      <c r="D176" t="s">
        <v>19</v>
      </c>
      <c r="E176">
        <v>3421.5</v>
      </c>
      <c r="F176">
        <v>260</v>
      </c>
      <c r="G176">
        <v>7</v>
      </c>
      <c r="H176">
        <v>23950.5</v>
      </c>
      <c r="I176">
        <v>2874.06</v>
      </c>
      <c r="J176">
        <v>21076.44</v>
      </c>
      <c r="K176">
        <v>17107.5</v>
      </c>
      <c r="L176">
        <v>3968.94</v>
      </c>
      <c r="M176" s="2">
        <v>41821</v>
      </c>
      <c r="N176">
        <v>7</v>
      </c>
      <c r="O176" t="s">
        <v>31</v>
      </c>
      <c r="P176">
        <v>2014</v>
      </c>
    </row>
    <row r="177" spans="1:16" x14ac:dyDescent="0.2">
      <c r="A177" t="s">
        <v>16</v>
      </c>
      <c r="B177" t="s">
        <v>17</v>
      </c>
      <c r="C177" t="s">
        <v>29</v>
      </c>
      <c r="D177" t="s">
        <v>19</v>
      </c>
      <c r="E177">
        <v>2734</v>
      </c>
      <c r="F177">
        <v>260</v>
      </c>
      <c r="G177">
        <v>7</v>
      </c>
      <c r="H177">
        <v>19138</v>
      </c>
      <c r="I177">
        <v>2296.56</v>
      </c>
      <c r="J177">
        <v>16841.439999999999</v>
      </c>
      <c r="K177">
        <v>13670</v>
      </c>
      <c r="L177">
        <v>3171.44</v>
      </c>
      <c r="M177" s="2">
        <v>41913</v>
      </c>
      <c r="N177">
        <v>10</v>
      </c>
      <c r="O177" t="s">
        <v>33</v>
      </c>
      <c r="P177">
        <v>2014</v>
      </c>
    </row>
    <row r="178" spans="1:16" x14ac:dyDescent="0.2">
      <c r="A178" t="s">
        <v>16</v>
      </c>
      <c r="B178" t="s">
        <v>22</v>
      </c>
      <c r="C178" t="s">
        <v>28</v>
      </c>
      <c r="D178" t="s">
        <v>19</v>
      </c>
      <c r="E178">
        <v>1491</v>
      </c>
      <c r="F178">
        <v>250</v>
      </c>
      <c r="G178">
        <v>7</v>
      </c>
      <c r="H178">
        <v>10437</v>
      </c>
      <c r="I178">
        <v>1252.44</v>
      </c>
      <c r="J178">
        <v>9184.56</v>
      </c>
      <c r="K178">
        <v>7455</v>
      </c>
      <c r="L178">
        <v>1729.56</v>
      </c>
      <c r="M178" s="2">
        <v>41699</v>
      </c>
      <c r="N178">
        <v>3</v>
      </c>
      <c r="O178" t="s">
        <v>42</v>
      </c>
      <c r="P178">
        <v>2014</v>
      </c>
    </row>
    <row r="179" spans="1:16" x14ac:dyDescent="0.2">
      <c r="A179" t="s">
        <v>16</v>
      </c>
      <c r="B179" t="s">
        <v>32</v>
      </c>
      <c r="C179" t="s">
        <v>23</v>
      </c>
      <c r="D179" t="s">
        <v>19</v>
      </c>
      <c r="E179">
        <v>1298</v>
      </c>
      <c r="F179">
        <v>5</v>
      </c>
      <c r="G179">
        <v>7</v>
      </c>
      <c r="H179">
        <v>9086</v>
      </c>
      <c r="I179">
        <v>1181.18</v>
      </c>
      <c r="J179">
        <v>7904.82</v>
      </c>
      <c r="K179">
        <v>6490</v>
      </c>
      <c r="L179">
        <v>1414.82</v>
      </c>
      <c r="M179" s="2">
        <v>41671</v>
      </c>
      <c r="N179">
        <v>2</v>
      </c>
      <c r="O179" t="s">
        <v>26</v>
      </c>
      <c r="P179">
        <v>2014</v>
      </c>
    </row>
    <row r="180" spans="1:16" x14ac:dyDescent="0.2">
      <c r="A180" t="s">
        <v>16</v>
      </c>
      <c r="B180" t="s">
        <v>32</v>
      </c>
      <c r="C180" t="s">
        <v>25</v>
      </c>
      <c r="D180" t="s">
        <v>19</v>
      </c>
      <c r="E180">
        <v>1438.5</v>
      </c>
      <c r="F180">
        <v>10</v>
      </c>
      <c r="G180">
        <v>7</v>
      </c>
      <c r="H180">
        <v>10069.5</v>
      </c>
      <c r="I180">
        <v>1309.0350000000001</v>
      </c>
      <c r="J180">
        <v>8760.4650000000001</v>
      </c>
      <c r="K180">
        <v>7192.5</v>
      </c>
      <c r="L180">
        <v>1567.9649999999999</v>
      </c>
      <c r="M180" s="2">
        <v>41640</v>
      </c>
      <c r="N180">
        <v>1</v>
      </c>
      <c r="O180" t="s">
        <v>20</v>
      </c>
      <c r="P180">
        <v>2014</v>
      </c>
    </row>
    <row r="181" spans="1:16" x14ac:dyDescent="0.2">
      <c r="A181" t="s">
        <v>16</v>
      </c>
      <c r="B181" t="s">
        <v>22</v>
      </c>
      <c r="C181" t="s">
        <v>25</v>
      </c>
      <c r="D181" t="s">
        <v>19</v>
      </c>
      <c r="E181">
        <v>2696</v>
      </c>
      <c r="F181">
        <v>10</v>
      </c>
      <c r="G181">
        <v>7</v>
      </c>
      <c r="H181">
        <v>18872</v>
      </c>
      <c r="I181">
        <v>2453.36</v>
      </c>
      <c r="J181">
        <v>16418.64</v>
      </c>
      <c r="K181">
        <v>13480</v>
      </c>
      <c r="L181">
        <v>2938.64</v>
      </c>
      <c r="M181" s="2">
        <v>41852</v>
      </c>
      <c r="N181">
        <v>8</v>
      </c>
      <c r="O181" t="s">
        <v>41</v>
      </c>
      <c r="P181">
        <v>2014</v>
      </c>
    </row>
    <row r="182" spans="1:16" x14ac:dyDescent="0.2">
      <c r="A182" t="s">
        <v>16</v>
      </c>
      <c r="B182" t="s">
        <v>22</v>
      </c>
      <c r="C182" t="s">
        <v>34</v>
      </c>
      <c r="D182" t="s">
        <v>19</v>
      </c>
      <c r="E182">
        <v>1190</v>
      </c>
      <c r="F182">
        <v>120</v>
      </c>
      <c r="G182">
        <v>7</v>
      </c>
      <c r="H182">
        <v>8330</v>
      </c>
      <c r="I182">
        <v>1082.9000000000001</v>
      </c>
      <c r="J182">
        <v>7247.1</v>
      </c>
      <c r="K182">
        <v>5950</v>
      </c>
      <c r="L182">
        <v>1297.0999999999999</v>
      </c>
      <c r="M182" s="2">
        <v>41791</v>
      </c>
      <c r="N182">
        <v>6</v>
      </c>
      <c r="O182" t="s">
        <v>24</v>
      </c>
      <c r="P182">
        <v>2014</v>
      </c>
    </row>
    <row r="183" spans="1:16" x14ac:dyDescent="0.2">
      <c r="A183" t="s">
        <v>16</v>
      </c>
      <c r="B183" t="s">
        <v>22</v>
      </c>
      <c r="C183" t="s">
        <v>29</v>
      </c>
      <c r="D183" t="s">
        <v>19</v>
      </c>
      <c r="E183">
        <v>1190</v>
      </c>
      <c r="F183">
        <v>260</v>
      </c>
      <c r="G183">
        <v>7</v>
      </c>
      <c r="H183">
        <v>8330</v>
      </c>
      <c r="I183">
        <v>1082.9000000000001</v>
      </c>
      <c r="J183">
        <v>7247.1</v>
      </c>
      <c r="K183">
        <v>5950</v>
      </c>
      <c r="L183">
        <v>1297.0999999999999</v>
      </c>
      <c r="M183" s="2">
        <v>41791</v>
      </c>
      <c r="N183">
        <v>6</v>
      </c>
      <c r="O183" t="s">
        <v>24</v>
      </c>
      <c r="P183">
        <v>2014</v>
      </c>
    </row>
    <row r="184" spans="1:16" x14ac:dyDescent="0.2">
      <c r="A184" t="s">
        <v>16</v>
      </c>
      <c r="B184" t="s">
        <v>32</v>
      </c>
      <c r="C184" t="s">
        <v>18</v>
      </c>
      <c r="D184" t="s">
        <v>19</v>
      </c>
      <c r="E184">
        <v>2996</v>
      </c>
      <c r="F184">
        <v>3</v>
      </c>
      <c r="G184">
        <v>7</v>
      </c>
      <c r="H184">
        <v>20972</v>
      </c>
      <c r="I184">
        <v>2936.08</v>
      </c>
      <c r="J184">
        <v>18035.919999999998</v>
      </c>
      <c r="K184">
        <v>14980</v>
      </c>
      <c r="L184">
        <v>3055.92</v>
      </c>
      <c r="M184" s="2">
        <v>41548</v>
      </c>
      <c r="N184">
        <v>10</v>
      </c>
      <c r="O184" t="s">
        <v>33</v>
      </c>
      <c r="P184">
        <v>2013</v>
      </c>
    </row>
    <row r="185" spans="1:16" x14ac:dyDescent="0.2">
      <c r="A185" t="s">
        <v>16</v>
      </c>
      <c r="B185" t="s">
        <v>21</v>
      </c>
      <c r="C185" t="s">
        <v>18</v>
      </c>
      <c r="D185" t="s">
        <v>19</v>
      </c>
      <c r="E185">
        <v>280</v>
      </c>
      <c r="F185">
        <v>3</v>
      </c>
      <c r="G185">
        <v>7</v>
      </c>
      <c r="H185">
        <v>1960</v>
      </c>
      <c r="I185">
        <v>274.39999999999998</v>
      </c>
      <c r="J185">
        <v>1685.6</v>
      </c>
      <c r="K185">
        <v>1400</v>
      </c>
      <c r="L185">
        <v>285.60000000000002</v>
      </c>
      <c r="M185" s="2">
        <v>41974</v>
      </c>
      <c r="N185">
        <v>12</v>
      </c>
      <c r="O185" t="s">
        <v>27</v>
      </c>
      <c r="P185">
        <v>2014</v>
      </c>
    </row>
    <row r="186" spans="1:16" x14ac:dyDescent="0.2">
      <c r="A186" t="s">
        <v>16</v>
      </c>
      <c r="B186" t="s">
        <v>22</v>
      </c>
      <c r="C186" t="s">
        <v>23</v>
      </c>
      <c r="D186" t="s">
        <v>19</v>
      </c>
      <c r="E186">
        <v>293</v>
      </c>
      <c r="F186">
        <v>5</v>
      </c>
      <c r="G186">
        <v>7</v>
      </c>
      <c r="H186">
        <v>2051</v>
      </c>
      <c r="I186">
        <v>287.14</v>
      </c>
      <c r="J186">
        <v>1763.86</v>
      </c>
      <c r="K186">
        <v>1465</v>
      </c>
      <c r="L186">
        <v>298.86</v>
      </c>
      <c r="M186" s="2">
        <v>41671</v>
      </c>
      <c r="N186">
        <v>2</v>
      </c>
      <c r="O186" t="s">
        <v>26</v>
      </c>
      <c r="P186">
        <v>2014</v>
      </c>
    </row>
    <row r="187" spans="1:16" x14ac:dyDescent="0.2">
      <c r="A187" t="s">
        <v>16</v>
      </c>
      <c r="B187" t="s">
        <v>32</v>
      </c>
      <c r="C187" t="s">
        <v>23</v>
      </c>
      <c r="D187" t="s">
        <v>19</v>
      </c>
      <c r="E187">
        <v>2996</v>
      </c>
      <c r="F187">
        <v>5</v>
      </c>
      <c r="G187">
        <v>7</v>
      </c>
      <c r="H187">
        <v>20972</v>
      </c>
      <c r="I187">
        <v>2936.08</v>
      </c>
      <c r="J187">
        <v>18035.919999999998</v>
      </c>
      <c r="K187">
        <v>14980</v>
      </c>
      <c r="L187">
        <v>3055.92</v>
      </c>
      <c r="M187" s="2">
        <v>41548</v>
      </c>
      <c r="N187">
        <v>10</v>
      </c>
      <c r="O187" t="s">
        <v>33</v>
      </c>
      <c r="P187">
        <v>2013</v>
      </c>
    </row>
    <row r="188" spans="1:16" x14ac:dyDescent="0.2">
      <c r="A188" t="s">
        <v>16</v>
      </c>
      <c r="B188" t="s">
        <v>21</v>
      </c>
      <c r="C188" t="s">
        <v>28</v>
      </c>
      <c r="D188" t="s">
        <v>19</v>
      </c>
      <c r="E188">
        <v>280</v>
      </c>
      <c r="F188">
        <v>250</v>
      </c>
      <c r="G188">
        <v>7</v>
      </c>
      <c r="H188">
        <v>1960</v>
      </c>
      <c r="I188">
        <v>274.39999999999998</v>
      </c>
      <c r="J188">
        <v>1685.6</v>
      </c>
      <c r="K188">
        <v>1400</v>
      </c>
      <c r="L188">
        <v>285.60000000000002</v>
      </c>
      <c r="M188" s="2">
        <v>41974</v>
      </c>
      <c r="N188">
        <v>12</v>
      </c>
      <c r="O188" t="s">
        <v>27</v>
      </c>
      <c r="P188">
        <v>2014</v>
      </c>
    </row>
    <row r="189" spans="1:16" x14ac:dyDescent="0.2">
      <c r="A189" t="s">
        <v>16</v>
      </c>
      <c r="B189" t="s">
        <v>17</v>
      </c>
      <c r="C189" t="s">
        <v>23</v>
      </c>
      <c r="D189" t="s">
        <v>19</v>
      </c>
      <c r="E189">
        <v>388</v>
      </c>
      <c r="F189">
        <v>5</v>
      </c>
      <c r="G189">
        <v>7</v>
      </c>
      <c r="H189">
        <v>2716</v>
      </c>
      <c r="I189">
        <v>380.24</v>
      </c>
      <c r="J189">
        <v>2335.7600000000002</v>
      </c>
      <c r="K189">
        <v>1940</v>
      </c>
      <c r="L189">
        <v>395.76</v>
      </c>
      <c r="M189" s="2">
        <v>41883</v>
      </c>
      <c r="N189">
        <v>9</v>
      </c>
      <c r="O189" t="s">
        <v>39</v>
      </c>
      <c r="P189">
        <v>2014</v>
      </c>
    </row>
    <row r="190" spans="1:16" x14ac:dyDescent="0.2">
      <c r="A190" t="s">
        <v>16</v>
      </c>
      <c r="B190" t="s">
        <v>35</v>
      </c>
      <c r="C190" t="s">
        <v>23</v>
      </c>
      <c r="D190" t="s">
        <v>19</v>
      </c>
      <c r="E190">
        <v>1727</v>
      </c>
      <c r="F190">
        <v>5</v>
      </c>
      <c r="G190">
        <v>7</v>
      </c>
      <c r="H190">
        <v>12089</v>
      </c>
      <c r="I190">
        <v>1692.46</v>
      </c>
      <c r="J190">
        <v>10396.540000000001</v>
      </c>
      <c r="K190">
        <v>8635</v>
      </c>
      <c r="L190">
        <v>1761.54</v>
      </c>
      <c r="M190" s="2">
        <v>41548</v>
      </c>
      <c r="N190">
        <v>10</v>
      </c>
      <c r="O190" t="s">
        <v>33</v>
      </c>
      <c r="P190">
        <v>2013</v>
      </c>
    </row>
    <row r="191" spans="1:16" x14ac:dyDescent="0.2">
      <c r="A191" t="s">
        <v>16</v>
      </c>
      <c r="B191" t="s">
        <v>22</v>
      </c>
      <c r="C191" t="s">
        <v>25</v>
      </c>
      <c r="D191" t="s">
        <v>19</v>
      </c>
      <c r="E191">
        <v>1731</v>
      </c>
      <c r="F191">
        <v>10</v>
      </c>
      <c r="G191">
        <v>7</v>
      </c>
      <c r="H191">
        <v>12117</v>
      </c>
      <c r="I191">
        <v>1696.38</v>
      </c>
      <c r="J191">
        <v>10420.620000000001</v>
      </c>
      <c r="K191">
        <v>8655</v>
      </c>
      <c r="L191">
        <v>1765.62</v>
      </c>
      <c r="M191" s="2">
        <v>41913</v>
      </c>
      <c r="N191">
        <v>10</v>
      </c>
      <c r="O191" t="s">
        <v>33</v>
      </c>
      <c r="P191">
        <v>2014</v>
      </c>
    </row>
    <row r="192" spans="1:16" x14ac:dyDescent="0.2">
      <c r="A192" t="s">
        <v>16</v>
      </c>
      <c r="B192" t="s">
        <v>35</v>
      </c>
      <c r="C192" t="s">
        <v>28</v>
      </c>
      <c r="D192" t="s">
        <v>19</v>
      </c>
      <c r="E192">
        <v>2903</v>
      </c>
      <c r="F192">
        <v>250</v>
      </c>
      <c r="G192">
        <v>7</v>
      </c>
      <c r="H192">
        <v>20321</v>
      </c>
      <c r="I192">
        <v>2844.94</v>
      </c>
      <c r="J192">
        <v>17476.060000000001</v>
      </c>
      <c r="K192">
        <v>14515</v>
      </c>
      <c r="L192">
        <v>2961.06</v>
      </c>
      <c r="M192" s="2">
        <v>41699</v>
      </c>
      <c r="N192">
        <v>3</v>
      </c>
      <c r="O192" t="s">
        <v>42</v>
      </c>
      <c r="P192">
        <v>2014</v>
      </c>
    </row>
    <row r="193" spans="1:16" x14ac:dyDescent="0.2">
      <c r="A193" t="s">
        <v>16</v>
      </c>
      <c r="B193" t="s">
        <v>22</v>
      </c>
      <c r="C193" t="s">
        <v>29</v>
      </c>
      <c r="D193" t="s">
        <v>19</v>
      </c>
      <c r="E193">
        <v>1731</v>
      </c>
      <c r="F193">
        <v>260</v>
      </c>
      <c r="G193">
        <v>7</v>
      </c>
      <c r="H193">
        <v>12117</v>
      </c>
      <c r="I193">
        <v>1696.38</v>
      </c>
      <c r="J193">
        <v>10420.620000000001</v>
      </c>
      <c r="K193">
        <v>8655</v>
      </c>
      <c r="L193">
        <v>1765.62</v>
      </c>
      <c r="M193" s="2">
        <v>41913</v>
      </c>
      <c r="N193">
        <v>10</v>
      </c>
      <c r="O193" t="s">
        <v>33</v>
      </c>
      <c r="P193">
        <v>2014</v>
      </c>
    </row>
    <row r="194" spans="1:16" x14ac:dyDescent="0.2">
      <c r="A194" t="s">
        <v>16</v>
      </c>
      <c r="B194" t="s">
        <v>35</v>
      </c>
      <c r="C194" t="s">
        <v>29</v>
      </c>
      <c r="D194" t="s">
        <v>19</v>
      </c>
      <c r="E194">
        <v>1727</v>
      </c>
      <c r="F194">
        <v>260</v>
      </c>
      <c r="G194">
        <v>7</v>
      </c>
      <c r="H194">
        <v>12089</v>
      </c>
      <c r="I194">
        <v>1692.46</v>
      </c>
      <c r="J194">
        <v>10396.540000000001</v>
      </c>
      <c r="K194">
        <v>8635</v>
      </c>
      <c r="L194">
        <v>1761.54</v>
      </c>
      <c r="M194" s="2">
        <v>41548</v>
      </c>
      <c r="N194">
        <v>10</v>
      </c>
      <c r="O194" t="s">
        <v>33</v>
      </c>
      <c r="P194">
        <v>2013</v>
      </c>
    </row>
    <row r="195" spans="1:16" x14ac:dyDescent="0.2">
      <c r="A195" t="s">
        <v>16</v>
      </c>
      <c r="B195" t="s">
        <v>35</v>
      </c>
      <c r="C195" t="s">
        <v>25</v>
      </c>
      <c r="D195" t="s">
        <v>19</v>
      </c>
      <c r="E195">
        <v>2535</v>
      </c>
      <c r="F195">
        <v>10</v>
      </c>
      <c r="G195">
        <v>7</v>
      </c>
      <c r="H195">
        <v>17745</v>
      </c>
      <c r="I195">
        <v>2661.75</v>
      </c>
      <c r="J195">
        <v>15083.25</v>
      </c>
      <c r="K195">
        <v>12675</v>
      </c>
      <c r="L195">
        <v>2408.25</v>
      </c>
      <c r="M195" s="2">
        <v>41730</v>
      </c>
      <c r="N195">
        <v>4</v>
      </c>
      <c r="O195" t="s">
        <v>37</v>
      </c>
      <c r="P195">
        <v>2014</v>
      </c>
    </row>
    <row r="196" spans="1:16" x14ac:dyDescent="0.2">
      <c r="A196" t="s">
        <v>16</v>
      </c>
      <c r="B196" t="s">
        <v>35</v>
      </c>
      <c r="C196" t="s">
        <v>23</v>
      </c>
      <c r="D196" t="s">
        <v>19</v>
      </c>
      <c r="E196">
        <v>1368</v>
      </c>
      <c r="F196">
        <v>5</v>
      </c>
      <c r="G196">
        <v>7</v>
      </c>
      <c r="H196">
        <v>9576</v>
      </c>
      <c r="I196">
        <v>1436.4</v>
      </c>
      <c r="J196">
        <v>8139.6</v>
      </c>
      <c r="K196">
        <v>6840</v>
      </c>
      <c r="L196">
        <v>1299.5999999999999</v>
      </c>
      <c r="M196" s="2">
        <v>41671</v>
      </c>
      <c r="N196">
        <v>2</v>
      </c>
      <c r="O196" t="s">
        <v>26</v>
      </c>
      <c r="P196">
        <v>2014</v>
      </c>
    </row>
    <row r="197" spans="1:16" x14ac:dyDescent="0.2">
      <c r="A197" t="s">
        <v>16</v>
      </c>
      <c r="B197" t="s">
        <v>17</v>
      </c>
      <c r="C197" t="s">
        <v>25</v>
      </c>
      <c r="D197" t="s">
        <v>19</v>
      </c>
      <c r="E197">
        <v>723</v>
      </c>
      <c r="F197">
        <v>10</v>
      </c>
      <c r="G197">
        <v>7</v>
      </c>
      <c r="H197">
        <v>5061</v>
      </c>
      <c r="I197">
        <v>759.15</v>
      </c>
      <c r="J197">
        <v>4301.8500000000004</v>
      </c>
      <c r="K197">
        <v>3615</v>
      </c>
      <c r="L197">
        <v>686.85</v>
      </c>
      <c r="M197" s="2">
        <v>41730</v>
      </c>
      <c r="N197">
        <v>4</v>
      </c>
      <c r="O197" t="s">
        <v>37</v>
      </c>
      <c r="P197">
        <v>2014</v>
      </c>
    </row>
    <row r="198" spans="1:16" x14ac:dyDescent="0.2">
      <c r="A198" t="s">
        <v>43</v>
      </c>
      <c r="B198" t="s">
        <v>22</v>
      </c>
      <c r="C198" t="s">
        <v>18</v>
      </c>
      <c r="D198" t="s">
        <v>19</v>
      </c>
      <c r="E198">
        <v>2178</v>
      </c>
      <c r="F198">
        <v>3</v>
      </c>
      <c r="G198">
        <v>15</v>
      </c>
      <c r="H198">
        <v>32670</v>
      </c>
      <c r="I198">
        <v>0</v>
      </c>
      <c r="J198">
        <v>32670</v>
      </c>
      <c r="K198">
        <v>21780</v>
      </c>
      <c r="L198">
        <v>10890</v>
      </c>
      <c r="M198" s="2">
        <v>41791</v>
      </c>
      <c r="N198">
        <v>6</v>
      </c>
      <c r="O198" t="s">
        <v>24</v>
      </c>
      <c r="P198">
        <v>2014</v>
      </c>
    </row>
    <row r="199" spans="1:16" x14ac:dyDescent="0.2">
      <c r="A199" t="s">
        <v>43</v>
      </c>
      <c r="B199" t="s">
        <v>21</v>
      </c>
      <c r="C199" t="s">
        <v>18</v>
      </c>
      <c r="D199" t="s">
        <v>19</v>
      </c>
      <c r="E199">
        <v>888</v>
      </c>
      <c r="F199">
        <v>3</v>
      </c>
      <c r="G199">
        <v>15</v>
      </c>
      <c r="H199">
        <v>13320</v>
      </c>
      <c r="I199">
        <v>0</v>
      </c>
      <c r="J199">
        <v>13320</v>
      </c>
      <c r="K199">
        <v>8880</v>
      </c>
      <c r="L199">
        <v>4440</v>
      </c>
      <c r="M199" s="2">
        <v>41791</v>
      </c>
      <c r="N199">
        <v>6</v>
      </c>
      <c r="O199" t="s">
        <v>24</v>
      </c>
      <c r="P199">
        <v>2014</v>
      </c>
    </row>
    <row r="200" spans="1:16" x14ac:dyDescent="0.2">
      <c r="A200" t="s">
        <v>43</v>
      </c>
      <c r="B200" t="s">
        <v>35</v>
      </c>
      <c r="C200" t="s">
        <v>18</v>
      </c>
      <c r="D200" t="s">
        <v>19</v>
      </c>
      <c r="E200">
        <v>2470</v>
      </c>
      <c r="F200">
        <v>3</v>
      </c>
      <c r="G200">
        <v>15</v>
      </c>
      <c r="H200">
        <v>37050</v>
      </c>
      <c r="I200">
        <v>0</v>
      </c>
      <c r="J200">
        <v>37050</v>
      </c>
      <c r="K200">
        <v>24700</v>
      </c>
      <c r="L200">
        <v>12350</v>
      </c>
      <c r="M200" s="2">
        <v>41791</v>
      </c>
      <c r="N200">
        <v>6</v>
      </c>
      <c r="O200" t="s">
        <v>24</v>
      </c>
      <c r="P200">
        <v>2014</v>
      </c>
    </row>
    <row r="201" spans="1:16" x14ac:dyDescent="0.2">
      <c r="A201" t="s">
        <v>43</v>
      </c>
      <c r="B201" t="s">
        <v>21</v>
      </c>
      <c r="C201" t="s">
        <v>23</v>
      </c>
      <c r="D201" t="s">
        <v>19</v>
      </c>
      <c r="E201">
        <v>921</v>
      </c>
      <c r="F201">
        <v>5</v>
      </c>
      <c r="G201">
        <v>15</v>
      </c>
      <c r="H201">
        <v>13815</v>
      </c>
      <c r="I201">
        <v>0</v>
      </c>
      <c r="J201">
        <v>13815</v>
      </c>
      <c r="K201">
        <v>9210</v>
      </c>
      <c r="L201">
        <v>4605</v>
      </c>
      <c r="M201" s="2">
        <v>41699</v>
      </c>
      <c r="N201">
        <v>3</v>
      </c>
      <c r="O201" t="s">
        <v>42</v>
      </c>
      <c r="P201">
        <v>2014</v>
      </c>
    </row>
    <row r="202" spans="1:16" x14ac:dyDescent="0.2">
      <c r="A202" t="s">
        <v>44</v>
      </c>
      <c r="B202" t="s">
        <v>17</v>
      </c>
      <c r="C202" t="s">
        <v>23</v>
      </c>
      <c r="D202" t="s">
        <v>19</v>
      </c>
      <c r="E202">
        <v>2518</v>
      </c>
      <c r="F202">
        <v>5</v>
      </c>
      <c r="G202">
        <v>12</v>
      </c>
      <c r="H202">
        <v>30216</v>
      </c>
      <c r="I202">
        <v>0</v>
      </c>
      <c r="J202">
        <v>30216</v>
      </c>
      <c r="K202">
        <v>7554</v>
      </c>
      <c r="L202">
        <v>22662</v>
      </c>
      <c r="M202" s="2">
        <v>41791</v>
      </c>
      <c r="N202">
        <v>6</v>
      </c>
      <c r="O202" t="s">
        <v>24</v>
      </c>
      <c r="P202">
        <v>2014</v>
      </c>
    </row>
    <row r="203" spans="1:16" x14ac:dyDescent="0.2">
      <c r="A203" t="s">
        <v>44</v>
      </c>
      <c r="B203" t="s">
        <v>21</v>
      </c>
      <c r="C203" t="s">
        <v>23</v>
      </c>
      <c r="D203" t="s">
        <v>19</v>
      </c>
      <c r="E203">
        <v>1545</v>
      </c>
      <c r="F203">
        <v>5</v>
      </c>
      <c r="G203">
        <v>12</v>
      </c>
      <c r="H203">
        <v>18540</v>
      </c>
      <c r="I203">
        <v>0</v>
      </c>
      <c r="J203">
        <v>18540</v>
      </c>
      <c r="K203">
        <v>4635</v>
      </c>
      <c r="L203">
        <v>13905</v>
      </c>
      <c r="M203" s="2">
        <v>41791</v>
      </c>
      <c r="N203">
        <v>6</v>
      </c>
      <c r="O203" t="s">
        <v>24</v>
      </c>
      <c r="P203">
        <v>2014</v>
      </c>
    </row>
    <row r="204" spans="1:16" x14ac:dyDescent="0.2">
      <c r="A204" t="s">
        <v>43</v>
      </c>
      <c r="B204" t="s">
        <v>35</v>
      </c>
      <c r="C204" t="s">
        <v>23</v>
      </c>
      <c r="D204" t="s">
        <v>19</v>
      </c>
      <c r="E204">
        <v>2470</v>
      </c>
      <c r="F204">
        <v>5</v>
      </c>
      <c r="G204">
        <v>15</v>
      </c>
      <c r="H204">
        <v>37050</v>
      </c>
      <c r="I204">
        <v>0</v>
      </c>
      <c r="J204">
        <v>37050</v>
      </c>
      <c r="K204">
        <v>24700</v>
      </c>
      <c r="L204">
        <v>12350</v>
      </c>
      <c r="M204" s="2">
        <v>41791</v>
      </c>
      <c r="N204">
        <v>6</v>
      </c>
      <c r="O204" t="s">
        <v>24</v>
      </c>
      <c r="P204">
        <v>2014</v>
      </c>
    </row>
    <row r="205" spans="1:16" x14ac:dyDescent="0.2">
      <c r="A205" t="s">
        <v>45</v>
      </c>
      <c r="B205" t="s">
        <v>17</v>
      </c>
      <c r="C205" t="s">
        <v>23</v>
      </c>
      <c r="D205" t="s">
        <v>19</v>
      </c>
      <c r="E205">
        <v>345</v>
      </c>
      <c r="F205">
        <v>5</v>
      </c>
      <c r="G205">
        <v>125</v>
      </c>
      <c r="H205">
        <v>43125</v>
      </c>
      <c r="I205">
        <v>0</v>
      </c>
      <c r="J205">
        <v>43125</v>
      </c>
      <c r="K205">
        <v>41400</v>
      </c>
      <c r="L205">
        <v>1725</v>
      </c>
      <c r="M205" s="2">
        <v>41548</v>
      </c>
      <c r="N205">
        <v>10</v>
      </c>
      <c r="O205" t="s">
        <v>33</v>
      </c>
      <c r="P205">
        <v>2013</v>
      </c>
    </row>
    <row r="206" spans="1:16" x14ac:dyDescent="0.2">
      <c r="A206" t="s">
        <v>43</v>
      </c>
      <c r="B206" t="s">
        <v>32</v>
      </c>
      <c r="C206" t="s">
        <v>23</v>
      </c>
      <c r="D206" t="s">
        <v>19</v>
      </c>
      <c r="E206">
        <v>615</v>
      </c>
      <c r="F206">
        <v>5</v>
      </c>
      <c r="G206">
        <v>15</v>
      </c>
      <c r="H206">
        <v>9225</v>
      </c>
      <c r="I206">
        <v>0</v>
      </c>
      <c r="J206">
        <v>9225</v>
      </c>
      <c r="K206">
        <v>6150</v>
      </c>
      <c r="L206">
        <v>3075</v>
      </c>
      <c r="M206" s="2">
        <v>41974</v>
      </c>
      <c r="N206">
        <v>12</v>
      </c>
      <c r="O206" t="s">
        <v>27</v>
      </c>
      <c r="P206">
        <v>2014</v>
      </c>
    </row>
    <row r="207" spans="1:16" x14ac:dyDescent="0.2">
      <c r="A207" t="s">
        <v>44</v>
      </c>
      <c r="B207" t="s">
        <v>21</v>
      </c>
      <c r="C207" t="s">
        <v>34</v>
      </c>
      <c r="D207" t="s">
        <v>19</v>
      </c>
      <c r="E207">
        <v>2161</v>
      </c>
      <c r="F207">
        <v>120</v>
      </c>
      <c r="G207">
        <v>12</v>
      </c>
      <c r="H207">
        <v>25932</v>
      </c>
      <c r="I207">
        <v>0</v>
      </c>
      <c r="J207">
        <v>25932</v>
      </c>
      <c r="K207">
        <v>6483</v>
      </c>
      <c r="L207">
        <v>19449</v>
      </c>
      <c r="M207" s="2">
        <v>41699</v>
      </c>
      <c r="N207">
        <v>3</v>
      </c>
      <c r="O207" t="s">
        <v>42</v>
      </c>
      <c r="P207">
        <v>2014</v>
      </c>
    </row>
    <row r="208" spans="1:16" x14ac:dyDescent="0.2">
      <c r="A208" t="s">
        <v>44</v>
      </c>
      <c r="B208" t="s">
        <v>21</v>
      </c>
      <c r="C208" t="s">
        <v>34</v>
      </c>
      <c r="D208" t="s">
        <v>19</v>
      </c>
      <c r="E208">
        <v>1545</v>
      </c>
      <c r="F208">
        <v>120</v>
      </c>
      <c r="G208">
        <v>12</v>
      </c>
      <c r="H208">
        <v>18540</v>
      </c>
      <c r="I208">
        <v>0</v>
      </c>
      <c r="J208">
        <v>18540</v>
      </c>
      <c r="K208">
        <v>4635</v>
      </c>
      <c r="L208">
        <v>13905</v>
      </c>
      <c r="M208" s="2">
        <v>41791</v>
      </c>
      <c r="N208">
        <v>6</v>
      </c>
      <c r="O208" t="s">
        <v>24</v>
      </c>
      <c r="P208">
        <v>2014</v>
      </c>
    </row>
    <row r="209" spans="1:16" x14ac:dyDescent="0.2">
      <c r="A209" t="s">
        <v>45</v>
      </c>
      <c r="B209" t="s">
        <v>17</v>
      </c>
      <c r="C209" t="s">
        <v>34</v>
      </c>
      <c r="D209" t="s">
        <v>19</v>
      </c>
      <c r="E209">
        <v>345</v>
      </c>
      <c r="F209">
        <v>120</v>
      </c>
      <c r="G209">
        <v>125</v>
      </c>
      <c r="H209">
        <v>43125</v>
      </c>
      <c r="I209">
        <v>0</v>
      </c>
      <c r="J209">
        <v>43125</v>
      </c>
      <c r="K209">
        <v>41400</v>
      </c>
      <c r="L209">
        <v>1725</v>
      </c>
      <c r="M209" s="2">
        <v>41548</v>
      </c>
      <c r="N209">
        <v>10</v>
      </c>
      <c r="O209" t="s">
        <v>33</v>
      </c>
      <c r="P209">
        <v>2013</v>
      </c>
    </row>
    <row r="210" spans="1:16" x14ac:dyDescent="0.2">
      <c r="A210" t="s">
        <v>44</v>
      </c>
      <c r="B210" t="s">
        <v>21</v>
      </c>
      <c r="C210" t="s">
        <v>28</v>
      </c>
      <c r="D210" t="s">
        <v>19</v>
      </c>
      <c r="E210">
        <v>2838</v>
      </c>
      <c r="F210">
        <v>250</v>
      </c>
      <c r="G210">
        <v>12</v>
      </c>
      <c r="H210">
        <v>34056</v>
      </c>
      <c r="I210">
        <v>0</v>
      </c>
      <c r="J210">
        <v>34056</v>
      </c>
      <c r="K210">
        <v>8514</v>
      </c>
      <c r="L210">
        <v>25542</v>
      </c>
      <c r="M210" s="2">
        <v>41730</v>
      </c>
      <c r="N210">
        <v>4</v>
      </c>
      <c r="O210" t="s">
        <v>37</v>
      </c>
      <c r="P210">
        <v>2014</v>
      </c>
    </row>
    <row r="211" spans="1:16" x14ac:dyDescent="0.2">
      <c r="A211" t="s">
        <v>43</v>
      </c>
      <c r="B211" t="s">
        <v>22</v>
      </c>
      <c r="C211" t="s">
        <v>28</v>
      </c>
      <c r="D211" t="s">
        <v>19</v>
      </c>
      <c r="E211">
        <v>2178</v>
      </c>
      <c r="F211">
        <v>250</v>
      </c>
      <c r="G211">
        <v>15</v>
      </c>
      <c r="H211">
        <v>32670</v>
      </c>
      <c r="I211">
        <v>0</v>
      </c>
      <c r="J211">
        <v>32670</v>
      </c>
      <c r="K211">
        <v>21780</v>
      </c>
      <c r="L211">
        <v>10890</v>
      </c>
      <c r="M211" s="2">
        <v>41791</v>
      </c>
      <c r="N211">
        <v>6</v>
      </c>
      <c r="O211" t="s">
        <v>24</v>
      </c>
      <c r="P211">
        <v>2014</v>
      </c>
    </row>
    <row r="212" spans="1:16" x14ac:dyDescent="0.2">
      <c r="A212" t="s">
        <v>43</v>
      </c>
      <c r="B212" t="s">
        <v>21</v>
      </c>
      <c r="C212" t="s">
        <v>28</v>
      </c>
      <c r="D212" t="s">
        <v>19</v>
      </c>
      <c r="E212">
        <v>888</v>
      </c>
      <c r="F212">
        <v>250</v>
      </c>
      <c r="G212">
        <v>15</v>
      </c>
      <c r="H212">
        <v>13320</v>
      </c>
      <c r="I212">
        <v>0</v>
      </c>
      <c r="J212">
        <v>13320</v>
      </c>
      <c r="K212">
        <v>8880</v>
      </c>
      <c r="L212">
        <v>4440</v>
      </c>
      <c r="M212" s="2">
        <v>41791</v>
      </c>
      <c r="N212">
        <v>6</v>
      </c>
      <c r="O212" t="s">
        <v>24</v>
      </c>
      <c r="P212">
        <v>2014</v>
      </c>
    </row>
    <row r="213" spans="1:16" x14ac:dyDescent="0.2">
      <c r="A213" t="s">
        <v>44</v>
      </c>
      <c r="B213" t="s">
        <v>32</v>
      </c>
      <c r="C213" t="s">
        <v>29</v>
      </c>
      <c r="D213" t="s">
        <v>19</v>
      </c>
      <c r="E213">
        <v>1953</v>
      </c>
      <c r="F213">
        <v>260</v>
      </c>
      <c r="G213">
        <v>12</v>
      </c>
      <c r="H213">
        <v>23436</v>
      </c>
      <c r="I213">
        <v>0</v>
      </c>
      <c r="J213">
        <v>23436</v>
      </c>
      <c r="K213">
        <v>5859</v>
      </c>
      <c r="L213">
        <v>17577</v>
      </c>
      <c r="M213" s="2">
        <v>41730</v>
      </c>
      <c r="N213">
        <v>4</v>
      </c>
      <c r="O213" t="s">
        <v>37</v>
      </c>
      <c r="P213">
        <v>2014</v>
      </c>
    </row>
    <row r="214" spans="1:16" x14ac:dyDescent="0.2">
      <c r="A214" t="s">
        <v>44</v>
      </c>
      <c r="B214" t="s">
        <v>32</v>
      </c>
      <c r="C214" t="s">
        <v>29</v>
      </c>
      <c r="D214" t="s">
        <v>19</v>
      </c>
      <c r="E214">
        <v>2141</v>
      </c>
      <c r="F214">
        <v>260</v>
      </c>
      <c r="G214">
        <v>12</v>
      </c>
      <c r="H214">
        <v>25692</v>
      </c>
      <c r="I214">
        <v>0</v>
      </c>
      <c r="J214">
        <v>25692</v>
      </c>
      <c r="K214">
        <v>6423</v>
      </c>
      <c r="L214">
        <v>19269</v>
      </c>
      <c r="M214" s="2">
        <v>41852</v>
      </c>
      <c r="N214">
        <v>8</v>
      </c>
      <c r="O214" t="s">
        <v>41</v>
      </c>
      <c r="P214">
        <v>2014</v>
      </c>
    </row>
    <row r="215" spans="1:16" x14ac:dyDescent="0.2">
      <c r="A215" t="s">
        <v>43</v>
      </c>
      <c r="B215" t="s">
        <v>32</v>
      </c>
      <c r="C215" t="s">
        <v>29</v>
      </c>
      <c r="D215" t="s">
        <v>19</v>
      </c>
      <c r="E215">
        <v>615</v>
      </c>
      <c r="F215">
        <v>260</v>
      </c>
      <c r="G215">
        <v>15</v>
      </c>
      <c r="H215">
        <v>9225</v>
      </c>
      <c r="I215">
        <v>0</v>
      </c>
      <c r="J215">
        <v>9225</v>
      </c>
      <c r="K215">
        <v>6150</v>
      </c>
      <c r="L215">
        <v>3075</v>
      </c>
      <c r="M215" s="2">
        <v>41974</v>
      </c>
      <c r="N215">
        <v>12</v>
      </c>
      <c r="O215" t="s">
        <v>27</v>
      </c>
      <c r="P215">
        <v>2014</v>
      </c>
    </row>
    <row r="216" spans="1:16" x14ac:dyDescent="0.2">
      <c r="A216" t="s">
        <v>44</v>
      </c>
      <c r="B216" t="s">
        <v>32</v>
      </c>
      <c r="C216" t="s">
        <v>18</v>
      </c>
      <c r="D216" t="s">
        <v>30</v>
      </c>
      <c r="E216">
        <v>1858</v>
      </c>
      <c r="F216">
        <v>3</v>
      </c>
      <c r="G216">
        <v>12</v>
      </c>
      <c r="H216">
        <v>22296</v>
      </c>
      <c r="I216">
        <v>222.96</v>
      </c>
      <c r="J216">
        <v>22073.040000000001</v>
      </c>
      <c r="K216">
        <v>5574</v>
      </c>
      <c r="L216">
        <v>16499.04</v>
      </c>
      <c r="M216" s="2">
        <v>41671</v>
      </c>
      <c r="N216">
        <v>2</v>
      </c>
      <c r="O216" t="s">
        <v>26</v>
      </c>
      <c r="P216">
        <v>2014</v>
      </c>
    </row>
    <row r="217" spans="1:16" x14ac:dyDescent="0.2">
      <c r="A217" t="s">
        <v>44</v>
      </c>
      <c r="B217" t="s">
        <v>17</v>
      </c>
      <c r="C217" t="s">
        <v>18</v>
      </c>
      <c r="D217" t="s">
        <v>30</v>
      </c>
      <c r="E217">
        <v>1445</v>
      </c>
      <c r="F217">
        <v>3</v>
      </c>
      <c r="G217">
        <v>12</v>
      </c>
      <c r="H217">
        <v>17340</v>
      </c>
      <c r="I217">
        <v>173.4</v>
      </c>
      <c r="J217">
        <v>17166.599999999999</v>
      </c>
      <c r="K217">
        <v>4335</v>
      </c>
      <c r="L217">
        <v>12831.6</v>
      </c>
      <c r="M217" s="2">
        <v>41883</v>
      </c>
      <c r="N217">
        <v>9</v>
      </c>
      <c r="O217" t="s">
        <v>39</v>
      </c>
      <c r="P217">
        <v>2014</v>
      </c>
    </row>
    <row r="218" spans="1:16" x14ac:dyDescent="0.2">
      <c r="A218" t="s">
        <v>45</v>
      </c>
      <c r="B218" t="s">
        <v>32</v>
      </c>
      <c r="C218" t="s">
        <v>18</v>
      </c>
      <c r="D218" t="s">
        <v>30</v>
      </c>
      <c r="E218">
        <v>330</v>
      </c>
      <c r="F218">
        <v>3</v>
      </c>
      <c r="G218">
        <v>125</v>
      </c>
      <c r="H218">
        <v>41250</v>
      </c>
      <c r="I218">
        <v>412.5</v>
      </c>
      <c r="J218">
        <v>40837.5</v>
      </c>
      <c r="K218">
        <v>39600</v>
      </c>
      <c r="L218">
        <v>1237.5</v>
      </c>
      <c r="M218" s="2">
        <v>41518</v>
      </c>
      <c r="N218">
        <v>9</v>
      </c>
      <c r="O218" t="s">
        <v>39</v>
      </c>
      <c r="P218">
        <v>2013</v>
      </c>
    </row>
    <row r="219" spans="1:16" x14ac:dyDescent="0.2">
      <c r="A219" t="s">
        <v>44</v>
      </c>
      <c r="B219" t="s">
        <v>22</v>
      </c>
      <c r="C219" t="s">
        <v>18</v>
      </c>
      <c r="D219" t="s">
        <v>30</v>
      </c>
      <c r="E219">
        <v>2671</v>
      </c>
      <c r="F219">
        <v>3</v>
      </c>
      <c r="G219">
        <v>12</v>
      </c>
      <c r="H219">
        <v>32052</v>
      </c>
      <c r="I219">
        <v>320.52</v>
      </c>
      <c r="J219">
        <v>31731.48</v>
      </c>
      <c r="K219">
        <v>8013</v>
      </c>
      <c r="L219">
        <v>23718.48</v>
      </c>
      <c r="M219" s="2">
        <v>41883</v>
      </c>
      <c r="N219">
        <v>9</v>
      </c>
      <c r="O219" t="s">
        <v>39</v>
      </c>
      <c r="P219">
        <v>2014</v>
      </c>
    </row>
    <row r="220" spans="1:16" x14ac:dyDescent="0.2">
      <c r="A220" t="s">
        <v>44</v>
      </c>
      <c r="B220" t="s">
        <v>21</v>
      </c>
      <c r="C220" t="s">
        <v>18</v>
      </c>
      <c r="D220" t="s">
        <v>30</v>
      </c>
      <c r="E220">
        <v>766</v>
      </c>
      <c r="F220">
        <v>3</v>
      </c>
      <c r="G220">
        <v>12</v>
      </c>
      <c r="H220">
        <v>9192</v>
      </c>
      <c r="I220">
        <v>91.92</v>
      </c>
      <c r="J220">
        <v>9100.08</v>
      </c>
      <c r="K220">
        <v>2298</v>
      </c>
      <c r="L220">
        <v>6802.08</v>
      </c>
      <c r="M220" s="2">
        <v>41548</v>
      </c>
      <c r="N220">
        <v>10</v>
      </c>
      <c r="O220" t="s">
        <v>33</v>
      </c>
      <c r="P220">
        <v>2013</v>
      </c>
    </row>
    <row r="221" spans="1:16" x14ac:dyDescent="0.2">
      <c r="A221" t="s">
        <v>43</v>
      </c>
      <c r="B221" t="s">
        <v>35</v>
      </c>
      <c r="C221" t="s">
        <v>23</v>
      </c>
      <c r="D221" t="s">
        <v>30</v>
      </c>
      <c r="E221">
        <v>2214</v>
      </c>
      <c r="F221">
        <v>5</v>
      </c>
      <c r="G221">
        <v>15</v>
      </c>
      <c r="H221">
        <v>33210</v>
      </c>
      <c r="I221">
        <v>332.1</v>
      </c>
      <c r="J221">
        <v>32877.9</v>
      </c>
      <c r="K221">
        <v>22140</v>
      </c>
      <c r="L221">
        <v>10737.9</v>
      </c>
      <c r="M221" s="2">
        <v>41699</v>
      </c>
      <c r="N221">
        <v>3</v>
      </c>
      <c r="O221" t="s">
        <v>42</v>
      </c>
      <c r="P221">
        <v>2014</v>
      </c>
    </row>
    <row r="222" spans="1:16" x14ac:dyDescent="0.2">
      <c r="A222" t="s">
        <v>44</v>
      </c>
      <c r="B222" t="s">
        <v>32</v>
      </c>
      <c r="C222" t="s">
        <v>29</v>
      </c>
      <c r="D222" t="s">
        <v>30</v>
      </c>
      <c r="E222">
        <v>1989</v>
      </c>
      <c r="F222">
        <v>260</v>
      </c>
      <c r="G222">
        <v>12</v>
      </c>
      <c r="H222">
        <v>23868</v>
      </c>
      <c r="I222">
        <v>238.68</v>
      </c>
      <c r="J222">
        <v>23629.32</v>
      </c>
      <c r="K222">
        <v>5967</v>
      </c>
      <c r="L222">
        <v>17662.32</v>
      </c>
      <c r="M222" s="2">
        <v>41518</v>
      </c>
      <c r="N222">
        <v>9</v>
      </c>
      <c r="O222" t="s">
        <v>39</v>
      </c>
      <c r="P222">
        <v>2013</v>
      </c>
    </row>
    <row r="223" spans="1:16" x14ac:dyDescent="0.2">
      <c r="A223" t="s">
        <v>43</v>
      </c>
      <c r="B223" t="s">
        <v>22</v>
      </c>
      <c r="C223" t="s">
        <v>29</v>
      </c>
      <c r="D223" t="s">
        <v>30</v>
      </c>
      <c r="E223">
        <v>321</v>
      </c>
      <c r="F223">
        <v>260</v>
      </c>
      <c r="G223">
        <v>15</v>
      </c>
      <c r="H223">
        <v>4815</v>
      </c>
      <c r="I223">
        <v>48.15</v>
      </c>
      <c r="J223">
        <v>4766.8500000000004</v>
      </c>
      <c r="K223">
        <v>3210</v>
      </c>
      <c r="L223">
        <v>1556.85</v>
      </c>
      <c r="M223" s="2">
        <v>41579</v>
      </c>
      <c r="N223">
        <v>11</v>
      </c>
      <c r="O223" t="s">
        <v>36</v>
      </c>
      <c r="P223">
        <v>2013</v>
      </c>
    </row>
    <row r="224" spans="1:16" x14ac:dyDescent="0.2">
      <c r="A224" t="s">
        <v>44</v>
      </c>
      <c r="B224" t="s">
        <v>17</v>
      </c>
      <c r="C224" t="s">
        <v>18</v>
      </c>
      <c r="D224" t="s">
        <v>30</v>
      </c>
      <c r="E224">
        <v>1295</v>
      </c>
      <c r="F224">
        <v>3</v>
      </c>
      <c r="G224">
        <v>12</v>
      </c>
      <c r="H224">
        <v>15540</v>
      </c>
      <c r="I224">
        <v>310.8</v>
      </c>
      <c r="J224">
        <v>15229.2</v>
      </c>
      <c r="K224">
        <v>3885</v>
      </c>
      <c r="L224">
        <v>11344.2</v>
      </c>
      <c r="M224" s="2">
        <v>41913</v>
      </c>
      <c r="N224">
        <v>10</v>
      </c>
      <c r="O224" t="s">
        <v>33</v>
      </c>
      <c r="P224">
        <v>2014</v>
      </c>
    </row>
    <row r="225" spans="1:16" x14ac:dyDescent="0.2">
      <c r="A225" t="s">
        <v>44</v>
      </c>
      <c r="B225" t="s">
        <v>32</v>
      </c>
      <c r="C225" t="s">
        <v>23</v>
      </c>
      <c r="D225" t="s">
        <v>30</v>
      </c>
      <c r="E225">
        <v>1142</v>
      </c>
      <c r="F225">
        <v>5</v>
      </c>
      <c r="G225">
        <v>12</v>
      </c>
      <c r="H225">
        <v>13704</v>
      </c>
      <c r="I225">
        <v>274.08</v>
      </c>
      <c r="J225">
        <v>13429.92</v>
      </c>
      <c r="K225">
        <v>3426</v>
      </c>
      <c r="L225">
        <v>10003.92</v>
      </c>
      <c r="M225" s="2">
        <v>41791</v>
      </c>
      <c r="N225">
        <v>6</v>
      </c>
      <c r="O225" t="s">
        <v>24</v>
      </c>
      <c r="P225">
        <v>2014</v>
      </c>
    </row>
    <row r="226" spans="1:16" x14ac:dyDescent="0.2">
      <c r="A226" t="s">
        <v>44</v>
      </c>
      <c r="B226" t="s">
        <v>35</v>
      </c>
      <c r="C226" t="s">
        <v>23</v>
      </c>
      <c r="D226" t="s">
        <v>30</v>
      </c>
      <c r="E226">
        <v>690</v>
      </c>
      <c r="F226">
        <v>5</v>
      </c>
      <c r="G226">
        <v>12</v>
      </c>
      <c r="H226">
        <v>8280</v>
      </c>
      <c r="I226">
        <v>165.6</v>
      </c>
      <c r="J226">
        <v>8114.4</v>
      </c>
      <c r="K226">
        <v>2070</v>
      </c>
      <c r="L226">
        <v>6044.4</v>
      </c>
      <c r="M226" s="2">
        <v>41944</v>
      </c>
      <c r="N226">
        <v>11</v>
      </c>
      <c r="O226" t="s">
        <v>36</v>
      </c>
      <c r="P226">
        <v>2014</v>
      </c>
    </row>
    <row r="227" spans="1:16" x14ac:dyDescent="0.2">
      <c r="A227" t="s">
        <v>44</v>
      </c>
      <c r="B227" t="s">
        <v>22</v>
      </c>
      <c r="C227" t="s">
        <v>34</v>
      </c>
      <c r="D227" t="s">
        <v>30</v>
      </c>
      <c r="E227">
        <v>1055</v>
      </c>
      <c r="F227">
        <v>120</v>
      </c>
      <c r="G227">
        <v>12</v>
      </c>
      <c r="H227">
        <v>12660</v>
      </c>
      <c r="I227">
        <v>253.2</v>
      </c>
      <c r="J227">
        <v>12406.8</v>
      </c>
      <c r="K227">
        <v>3165</v>
      </c>
      <c r="L227">
        <v>9241.7999999999993</v>
      </c>
      <c r="M227" s="2">
        <v>41974</v>
      </c>
      <c r="N227">
        <v>12</v>
      </c>
      <c r="O227" t="s">
        <v>27</v>
      </c>
      <c r="P227">
        <v>2014</v>
      </c>
    </row>
    <row r="228" spans="1:16" x14ac:dyDescent="0.2">
      <c r="A228" t="s">
        <v>44</v>
      </c>
      <c r="B228" t="s">
        <v>35</v>
      </c>
      <c r="C228" t="s">
        <v>34</v>
      </c>
      <c r="D228" t="s">
        <v>30</v>
      </c>
      <c r="E228">
        <v>1084</v>
      </c>
      <c r="F228">
        <v>120</v>
      </c>
      <c r="G228">
        <v>12</v>
      </c>
      <c r="H228">
        <v>13008</v>
      </c>
      <c r="I228">
        <v>260.16000000000003</v>
      </c>
      <c r="J228">
        <v>12747.84</v>
      </c>
      <c r="K228">
        <v>3252</v>
      </c>
      <c r="L228">
        <v>9495.84</v>
      </c>
      <c r="M228" s="2">
        <v>41974</v>
      </c>
      <c r="N228">
        <v>12</v>
      </c>
      <c r="O228" t="s">
        <v>27</v>
      </c>
      <c r="P228">
        <v>2014</v>
      </c>
    </row>
    <row r="229" spans="1:16" x14ac:dyDescent="0.2">
      <c r="A229" t="s">
        <v>44</v>
      </c>
      <c r="B229" t="s">
        <v>32</v>
      </c>
      <c r="C229" t="s">
        <v>18</v>
      </c>
      <c r="D229" t="s">
        <v>30</v>
      </c>
      <c r="E229">
        <v>1947</v>
      </c>
      <c r="F229">
        <v>3</v>
      </c>
      <c r="G229">
        <v>12</v>
      </c>
      <c r="H229">
        <v>23364</v>
      </c>
      <c r="I229">
        <v>700.92</v>
      </c>
      <c r="J229">
        <v>22663.08</v>
      </c>
      <c r="K229">
        <v>5841</v>
      </c>
      <c r="L229">
        <v>16822.080000000002</v>
      </c>
      <c r="M229" s="2">
        <v>41883</v>
      </c>
      <c r="N229">
        <v>9</v>
      </c>
      <c r="O229" t="s">
        <v>39</v>
      </c>
      <c r="P229">
        <v>2014</v>
      </c>
    </row>
    <row r="230" spans="1:16" x14ac:dyDescent="0.2">
      <c r="A230" t="s">
        <v>44</v>
      </c>
      <c r="B230" t="s">
        <v>17</v>
      </c>
      <c r="C230" t="s">
        <v>18</v>
      </c>
      <c r="D230" t="s">
        <v>30</v>
      </c>
      <c r="E230">
        <v>908</v>
      </c>
      <c r="F230">
        <v>3</v>
      </c>
      <c r="G230">
        <v>12</v>
      </c>
      <c r="H230">
        <v>10896</v>
      </c>
      <c r="I230">
        <v>326.88</v>
      </c>
      <c r="J230">
        <v>10569.12</v>
      </c>
      <c r="K230">
        <v>2724</v>
      </c>
      <c r="L230">
        <v>7845.12</v>
      </c>
      <c r="M230" s="2">
        <v>41609</v>
      </c>
      <c r="N230">
        <v>12</v>
      </c>
      <c r="O230" t="s">
        <v>27</v>
      </c>
      <c r="P230">
        <v>2013</v>
      </c>
    </row>
    <row r="231" spans="1:16" x14ac:dyDescent="0.2">
      <c r="A231" t="s">
        <v>44</v>
      </c>
      <c r="B231" t="s">
        <v>22</v>
      </c>
      <c r="C231" t="s">
        <v>23</v>
      </c>
      <c r="D231" t="s">
        <v>30</v>
      </c>
      <c r="E231">
        <v>1901</v>
      </c>
      <c r="F231">
        <v>5</v>
      </c>
      <c r="G231">
        <v>12</v>
      </c>
      <c r="H231">
        <v>22812</v>
      </c>
      <c r="I231">
        <v>684.36</v>
      </c>
      <c r="J231">
        <v>22127.64</v>
      </c>
      <c r="K231">
        <v>5703</v>
      </c>
      <c r="L231">
        <v>16424.64</v>
      </c>
      <c r="M231" s="2">
        <v>41791</v>
      </c>
      <c r="N231">
        <v>6</v>
      </c>
      <c r="O231" t="s">
        <v>24</v>
      </c>
      <c r="P231">
        <v>2014</v>
      </c>
    </row>
    <row r="232" spans="1:16" x14ac:dyDescent="0.2">
      <c r="A232" t="s">
        <v>44</v>
      </c>
      <c r="B232" t="s">
        <v>35</v>
      </c>
      <c r="C232" t="s">
        <v>28</v>
      </c>
      <c r="D232" t="s">
        <v>30</v>
      </c>
      <c r="E232">
        <v>1916</v>
      </c>
      <c r="F232">
        <v>250</v>
      </c>
      <c r="G232">
        <v>12</v>
      </c>
      <c r="H232">
        <v>22992</v>
      </c>
      <c r="I232">
        <v>689.76</v>
      </c>
      <c r="J232">
        <v>22302.240000000002</v>
      </c>
      <c r="K232">
        <v>5748</v>
      </c>
      <c r="L232">
        <v>16554.240000000002</v>
      </c>
      <c r="M232" s="2">
        <v>41730</v>
      </c>
      <c r="N232">
        <v>4</v>
      </c>
      <c r="O232" t="s">
        <v>37</v>
      </c>
      <c r="P232">
        <v>2014</v>
      </c>
    </row>
    <row r="233" spans="1:16" x14ac:dyDescent="0.2">
      <c r="A233" t="s">
        <v>43</v>
      </c>
      <c r="B233" t="s">
        <v>21</v>
      </c>
      <c r="C233" t="s">
        <v>28</v>
      </c>
      <c r="D233" t="s">
        <v>30</v>
      </c>
      <c r="E233">
        <v>1945</v>
      </c>
      <c r="F233">
        <v>250</v>
      </c>
      <c r="G233">
        <v>15</v>
      </c>
      <c r="H233">
        <v>29175</v>
      </c>
      <c r="I233">
        <v>875.25</v>
      </c>
      <c r="J233">
        <v>28299.75</v>
      </c>
      <c r="K233">
        <v>19450</v>
      </c>
      <c r="L233">
        <v>8849.75</v>
      </c>
      <c r="M233" s="2">
        <v>41548</v>
      </c>
      <c r="N233">
        <v>10</v>
      </c>
      <c r="O233" t="s">
        <v>33</v>
      </c>
      <c r="P233">
        <v>2013</v>
      </c>
    </row>
    <row r="234" spans="1:16" x14ac:dyDescent="0.2">
      <c r="A234" t="s">
        <v>44</v>
      </c>
      <c r="B234" t="s">
        <v>21</v>
      </c>
      <c r="C234" t="s">
        <v>28</v>
      </c>
      <c r="D234" t="s">
        <v>30</v>
      </c>
      <c r="E234">
        <v>2479</v>
      </c>
      <c r="F234">
        <v>250</v>
      </c>
      <c r="G234">
        <v>12</v>
      </c>
      <c r="H234">
        <v>29748</v>
      </c>
      <c r="I234">
        <v>892.44</v>
      </c>
      <c r="J234">
        <v>28855.56</v>
      </c>
      <c r="K234">
        <v>7437</v>
      </c>
      <c r="L234">
        <v>21418.560000000001</v>
      </c>
      <c r="M234" s="2">
        <v>41640</v>
      </c>
      <c r="N234">
        <v>1</v>
      </c>
      <c r="O234" t="s">
        <v>20</v>
      </c>
      <c r="P234">
        <v>2014</v>
      </c>
    </row>
    <row r="235" spans="1:16" x14ac:dyDescent="0.2">
      <c r="A235" t="s">
        <v>43</v>
      </c>
      <c r="B235" t="s">
        <v>35</v>
      </c>
      <c r="C235" t="s">
        <v>23</v>
      </c>
      <c r="D235" t="s">
        <v>30</v>
      </c>
      <c r="E235">
        <v>2031</v>
      </c>
      <c r="F235">
        <v>5</v>
      </c>
      <c r="G235">
        <v>15</v>
      </c>
      <c r="H235">
        <v>30465</v>
      </c>
      <c r="I235">
        <v>1218.5999999999999</v>
      </c>
      <c r="J235">
        <v>29246.400000000001</v>
      </c>
      <c r="K235">
        <v>20310</v>
      </c>
      <c r="L235">
        <v>8936.4</v>
      </c>
      <c r="M235" s="2">
        <v>41913</v>
      </c>
      <c r="N235">
        <v>10</v>
      </c>
      <c r="O235" t="s">
        <v>33</v>
      </c>
      <c r="P235">
        <v>2014</v>
      </c>
    </row>
    <row r="236" spans="1:16" x14ac:dyDescent="0.2">
      <c r="A236" t="s">
        <v>43</v>
      </c>
      <c r="B236" t="s">
        <v>17</v>
      </c>
      <c r="C236" t="s">
        <v>23</v>
      </c>
      <c r="D236" t="s">
        <v>30</v>
      </c>
      <c r="E236">
        <v>1967</v>
      </c>
      <c r="F236">
        <v>5</v>
      </c>
      <c r="G236">
        <v>15</v>
      </c>
      <c r="H236">
        <v>29505</v>
      </c>
      <c r="I236">
        <v>1180.2</v>
      </c>
      <c r="J236">
        <v>28324.799999999999</v>
      </c>
      <c r="K236">
        <v>19670</v>
      </c>
      <c r="L236">
        <v>8654.7999999999993</v>
      </c>
      <c r="M236" s="2">
        <v>41699</v>
      </c>
      <c r="N236">
        <v>3</v>
      </c>
      <c r="O236" t="s">
        <v>42</v>
      </c>
      <c r="P236">
        <v>2014</v>
      </c>
    </row>
    <row r="237" spans="1:16" x14ac:dyDescent="0.2">
      <c r="A237" t="s">
        <v>44</v>
      </c>
      <c r="B237" t="s">
        <v>32</v>
      </c>
      <c r="C237" t="s">
        <v>34</v>
      </c>
      <c r="D237" t="s">
        <v>30</v>
      </c>
      <c r="E237">
        <v>1465</v>
      </c>
      <c r="F237">
        <v>120</v>
      </c>
      <c r="G237">
        <v>12</v>
      </c>
      <c r="H237">
        <v>17580</v>
      </c>
      <c r="I237">
        <v>703.2</v>
      </c>
      <c r="J237">
        <v>16876.8</v>
      </c>
      <c r="K237">
        <v>4395</v>
      </c>
      <c r="L237">
        <v>12481.8</v>
      </c>
      <c r="M237" s="2">
        <v>41699</v>
      </c>
      <c r="N237">
        <v>3</v>
      </c>
      <c r="O237" t="s">
        <v>42</v>
      </c>
      <c r="P237">
        <v>2014</v>
      </c>
    </row>
    <row r="238" spans="1:16" x14ac:dyDescent="0.2">
      <c r="A238" t="s">
        <v>44</v>
      </c>
      <c r="B238" t="s">
        <v>22</v>
      </c>
      <c r="C238" t="s">
        <v>28</v>
      </c>
      <c r="D238" t="s">
        <v>30</v>
      </c>
      <c r="E238">
        <v>866</v>
      </c>
      <c r="F238">
        <v>250</v>
      </c>
      <c r="G238">
        <v>12</v>
      </c>
      <c r="H238">
        <v>10392</v>
      </c>
      <c r="I238">
        <v>415.68</v>
      </c>
      <c r="J238">
        <v>9976.32</v>
      </c>
      <c r="K238">
        <v>2598</v>
      </c>
      <c r="L238">
        <v>7378.32</v>
      </c>
      <c r="M238" s="2">
        <v>41760</v>
      </c>
      <c r="N238">
        <v>5</v>
      </c>
      <c r="O238" t="s">
        <v>38</v>
      </c>
      <c r="P238">
        <v>2014</v>
      </c>
    </row>
    <row r="239" spans="1:16" x14ac:dyDescent="0.2">
      <c r="A239" t="s">
        <v>43</v>
      </c>
      <c r="B239" t="s">
        <v>35</v>
      </c>
      <c r="C239" t="s">
        <v>28</v>
      </c>
      <c r="D239" t="s">
        <v>30</v>
      </c>
      <c r="E239">
        <v>1514</v>
      </c>
      <c r="F239">
        <v>250</v>
      </c>
      <c r="G239">
        <v>15</v>
      </c>
      <c r="H239">
        <v>22710</v>
      </c>
      <c r="I239">
        <v>908.4</v>
      </c>
      <c r="J239">
        <v>21801.599999999999</v>
      </c>
      <c r="K239">
        <v>15140</v>
      </c>
      <c r="L239">
        <v>6661.6</v>
      </c>
      <c r="M239" s="2">
        <v>41548</v>
      </c>
      <c r="N239">
        <v>10</v>
      </c>
      <c r="O239" t="s">
        <v>33</v>
      </c>
      <c r="P239">
        <v>2013</v>
      </c>
    </row>
    <row r="240" spans="1:16" x14ac:dyDescent="0.2">
      <c r="A240" t="s">
        <v>43</v>
      </c>
      <c r="B240" t="s">
        <v>32</v>
      </c>
      <c r="C240" t="s">
        <v>29</v>
      </c>
      <c r="D240" t="s">
        <v>30</v>
      </c>
      <c r="E240">
        <v>671</v>
      </c>
      <c r="F240">
        <v>260</v>
      </c>
      <c r="G240">
        <v>15</v>
      </c>
      <c r="H240">
        <v>10065</v>
      </c>
      <c r="I240">
        <v>402.6</v>
      </c>
      <c r="J240">
        <v>9662.4</v>
      </c>
      <c r="K240">
        <v>6710</v>
      </c>
      <c r="L240">
        <v>2952.4</v>
      </c>
      <c r="M240" s="2">
        <v>41548</v>
      </c>
      <c r="N240">
        <v>10</v>
      </c>
      <c r="O240" t="s">
        <v>33</v>
      </c>
      <c r="P240">
        <v>2013</v>
      </c>
    </row>
    <row r="241" spans="1:16" x14ac:dyDescent="0.2">
      <c r="A241" t="s">
        <v>44</v>
      </c>
      <c r="B241" t="s">
        <v>17</v>
      </c>
      <c r="C241" t="s">
        <v>34</v>
      </c>
      <c r="D241" t="s">
        <v>40</v>
      </c>
      <c r="E241">
        <v>2431</v>
      </c>
      <c r="F241">
        <v>120</v>
      </c>
      <c r="G241">
        <v>12</v>
      </c>
      <c r="H241">
        <v>29172</v>
      </c>
      <c r="I241">
        <v>1458.6</v>
      </c>
      <c r="J241">
        <v>27713.4</v>
      </c>
      <c r="K241">
        <v>7293</v>
      </c>
      <c r="L241">
        <v>20420.400000000001</v>
      </c>
      <c r="M241" s="2">
        <v>41974</v>
      </c>
      <c r="N241">
        <v>12</v>
      </c>
      <c r="O241" t="s">
        <v>27</v>
      </c>
      <c r="P241">
        <v>2014</v>
      </c>
    </row>
    <row r="242" spans="1:16" x14ac:dyDescent="0.2">
      <c r="A242" t="s">
        <v>44</v>
      </c>
      <c r="B242" t="s">
        <v>35</v>
      </c>
      <c r="C242" t="s">
        <v>29</v>
      </c>
      <c r="D242" t="s">
        <v>40</v>
      </c>
      <c r="E242">
        <v>1123</v>
      </c>
      <c r="F242">
        <v>260</v>
      </c>
      <c r="G242">
        <v>12</v>
      </c>
      <c r="H242">
        <v>13476</v>
      </c>
      <c r="I242">
        <v>673.8</v>
      </c>
      <c r="J242">
        <v>12802.2</v>
      </c>
      <c r="K242">
        <v>3369</v>
      </c>
      <c r="L242">
        <v>9433.2000000000007</v>
      </c>
      <c r="M242" s="2">
        <v>41852</v>
      </c>
      <c r="N242">
        <v>8</v>
      </c>
      <c r="O242" t="s">
        <v>41</v>
      </c>
      <c r="P242">
        <v>2014</v>
      </c>
    </row>
    <row r="243" spans="1:16" x14ac:dyDescent="0.2">
      <c r="A243" t="s">
        <v>44</v>
      </c>
      <c r="B243" t="s">
        <v>22</v>
      </c>
      <c r="C243" t="s">
        <v>18</v>
      </c>
      <c r="D243" t="s">
        <v>40</v>
      </c>
      <c r="E243">
        <v>1865</v>
      </c>
      <c r="F243">
        <v>3</v>
      </c>
      <c r="G243">
        <v>12</v>
      </c>
      <c r="H243">
        <v>22380</v>
      </c>
      <c r="I243">
        <v>1119</v>
      </c>
      <c r="J243">
        <v>21261</v>
      </c>
      <c r="K243">
        <v>5595</v>
      </c>
      <c r="L243">
        <v>15666</v>
      </c>
      <c r="M243" s="2">
        <v>41671</v>
      </c>
      <c r="N243">
        <v>2</v>
      </c>
      <c r="O243" t="s">
        <v>26</v>
      </c>
      <c r="P243">
        <v>2014</v>
      </c>
    </row>
    <row r="244" spans="1:16" x14ac:dyDescent="0.2">
      <c r="A244" t="s">
        <v>44</v>
      </c>
      <c r="B244" t="s">
        <v>21</v>
      </c>
      <c r="C244" t="s">
        <v>18</v>
      </c>
      <c r="D244" t="s">
        <v>40</v>
      </c>
      <c r="E244">
        <v>1116</v>
      </c>
      <c r="F244">
        <v>3</v>
      </c>
      <c r="G244">
        <v>12</v>
      </c>
      <c r="H244">
        <v>13392</v>
      </c>
      <c r="I244">
        <v>669.6</v>
      </c>
      <c r="J244">
        <v>12722.4</v>
      </c>
      <c r="K244">
        <v>3348</v>
      </c>
      <c r="L244">
        <v>9374.4</v>
      </c>
      <c r="M244" s="2">
        <v>41671</v>
      </c>
      <c r="N244">
        <v>2</v>
      </c>
      <c r="O244" t="s">
        <v>26</v>
      </c>
      <c r="P244">
        <v>2014</v>
      </c>
    </row>
    <row r="245" spans="1:16" x14ac:dyDescent="0.2">
      <c r="A245" t="s">
        <v>43</v>
      </c>
      <c r="B245" t="s">
        <v>35</v>
      </c>
      <c r="C245" t="s">
        <v>18</v>
      </c>
      <c r="D245" t="s">
        <v>40</v>
      </c>
      <c r="E245">
        <v>2791</v>
      </c>
      <c r="F245">
        <v>3</v>
      </c>
      <c r="G245">
        <v>15</v>
      </c>
      <c r="H245">
        <v>41865</v>
      </c>
      <c r="I245">
        <v>2093.25</v>
      </c>
      <c r="J245">
        <v>39771.75</v>
      </c>
      <c r="K245">
        <v>27910</v>
      </c>
      <c r="L245">
        <v>11861.75</v>
      </c>
      <c r="M245" s="2">
        <v>41944</v>
      </c>
      <c r="N245">
        <v>11</v>
      </c>
      <c r="O245" t="s">
        <v>36</v>
      </c>
      <c r="P245">
        <v>2014</v>
      </c>
    </row>
    <row r="246" spans="1:16" x14ac:dyDescent="0.2">
      <c r="A246" t="s">
        <v>44</v>
      </c>
      <c r="B246" t="s">
        <v>21</v>
      </c>
      <c r="C246" t="s">
        <v>23</v>
      </c>
      <c r="D246" t="s">
        <v>40</v>
      </c>
      <c r="E246">
        <v>2342</v>
      </c>
      <c r="F246">
        <v>5</v>
      </c>
      <c r="G246">
        <v>12</v>
      </c>
      <c r="H246">
        <v>28104</v>
      </c>
      <c r="I246">
        <v>1405.2</v>
      </c>
      <c r="J246">
        <v>26698.799999999999</v>
      </c>
      <c r="K246">
        <v>7026</v>
      </c>
      <c r="L246">
        <v>19672.8</v>
      </c>
      <c r="M246" s="2">
        <v>41944</v>
      </c>
      <c r="N246">
        <v>11</v>
      </c>
      <c r="O246" t="s">
        <v>36</v>
      </c>
      <c r="P246">
        <v>2014</v>
      </c>
    </row>
    <row r="247" spans="1:16" x14ac:dyDescent="0.2">
      <c r="A247" t="s">
        <v>43</v>
      </c>
      <c r="B247" t="s">
        <v>32</v>
      </c>
      <c r="C247" t="s">
        <v>34</v>
      </c>
      <c r="D247" t="s">
        <v>40</v>
      </c>
      <c r="E247">
        <v>555</v>
      </c>
      <c r="F247">
        <v>120</v>
      </c>
      <c r="G247">
        <v>15</v>
      </c>
      <c r="H247">
        <v>8325</v>
      </c>
      <c r="I247">
        <v>416.25</v>
      </c>
      <c r="J247">
        <v>7908.75</v>
      </c>
      <c r="K247">
        <v>5550</v>
      </c>
      <c r="L247">
        <v>2358.75</v>
      </c>
      <c r="M247" s="2">
        <v>41640</v>
      </c>
      <c r="N247">
        <v>1</v>
      </c>
      <c r="O247" t="s">
        <v>20</v>
      </c>
      <c r="P247">
        <v>2014</v>
      </c>
    </row>
    <row r="248" spans="1:16" x14ac:dyDescent="0.2">
      <c r="A248" t="s">
        <v>43</v>
      </c>
      <c r="B248" t="s">
        <v>35</v>
      </c>
      <c r="C248" t="s">
        <v>34</v>
      </c>
      <c r="D248" t="s">
        <v>40</v>
      </c>
      <c r="E248">
        <v>2861</v>
      </c>
      <c r="F248">
        <v>120</v>
      </c>
      <c r="G248">
        <v>15</v>
      </c>
      <c r="H248">
        <v>42915</v>
      </c>
      <c r="I248">
        <v>2145.75</v>
      </c>
      <c r="J248">
        <v>40769.25</v>
      </c>
      <c r="K248">
        <v>28610</v>
      </c>
      <c r="L248">
        <v>12159.25</v>
      </c>
      <c r="M248" s="2">
        <v>41640</v>
      </c>
      <c r="N248">
        <v>1</v>
      </c>
      <c r="O248" t="s">
        <v>20</v>
      </c>
      <c r="P248">
        <v>2014</v>
      </c>
    </row>
    <row r="249" spans="1:16" x14ac:dyDescent="0.2">
      <c r="A249" t="s">
        <v>43</v>
      </c>
      <c r="B249" t="s">
        <v>17</v>
      </c>
      <c r="C249" t="s">
        <v>18</v>
      </c>
      <c r="D249" t="s">
        <v>40</v>
      </c>
      <c r="E249">
        <v>2844</v>
      </c>
      <c r="F249">
        <v>3</v>
      </c>
      <c r="G249">
        <v>15</v>
      </c>
      <c r="H249">
        <v>42660</v>
      </c>
      <c r="I249">
        <v>2559.6</v>
      </c>
      <c r="J249">
        <v>40100.400000000001</v>
      </c>
      <c r="K249">
        <v>28440</v>
      </c>
      <c r="L249">
        <v>11660.4</v>
      </c>
      <c r="M249" s="2">
        <v>41791</v>
      </c>
      <c r="N249">
        <v>6</v>
      </c>
      <c r="O249" t="s">
        <v>24</v>
      </c>
      <c r="P249">
        <v>2014</v>
      </c>
    </row>
    <row r="250" spans="1:16" x14ac:dyDescent="0.2">
      <c r="A250" t="s">
        <v>44</v>
      </c>
      <c r="B250" t="s">
        <v>35</v>
      </c>
      <c r="C250" t="s">
        <v>18</v>
      </c>
      <c r="D250" t="s">
        <v>40</v>
      </c>
      <c r="E250">
        <v>562</v>
      </c>
      <c r="F250">
        <v>3</v>
      </c>
      <c r="G250">
        <v>12</v>
      </c>
      <c r="H250">
        <v>6744</v>
      </c>
      <c r="I250">
        <v>404.64</v>
      </c>
      <c r="J250">
        <v>6339.36</v>
      </c>
      <c r="K250">
        <v>1686</v>
      </c>
      <c r="L250">
        <v>4653.3599999999997</v>
      </c>
      <c r="M250" s="2">
        <v>41883</v>
      </c>
      <c r="N250">
        <v>9</v>
      </c>
      <c r="O250" t="s">
        <v>39</v>
      </c>
      <c r="P250">
        <v>2014</v>
      </c>
    </row>
    <row r="251" spans="1:16" x14ac:dyDescent="0.2">
      <c r="A251" t="s">
        <v>44</v>
      </c>
      <c r="B251" t="s">
        <v>17</v>
      </c>
      <c r="C251" t="s">
        <v>18</v>
      </c>
      <c r="D251" t="s">
        <v>40</v>
      </c>
      <c r="E251">
        <v>2299</v>
      </c>
      <c r="F251">
        <v>3</v>
      </c>
      <c r="G251">
        <v>12</v>
      </c>
      <c r="H251">
        <v>27588</v>
      </c>
      <c r="I251">
        <v>1655.28</v>
      </c>
      <c r="J251">
        <v>25932.720000000001</v>
      </c>
      <c r="K251">
        <v>6897</v>
      </c>
      <c r="L251">
        <v>19035.72</v>
      </c>
      <c r="M251" s="2">
        <v>41548</v>
      </c>
      <c r="N251">
        <v>10</v>
      </c>
      <c r="O251" t="s">
        <v>33</v>
      </c>
      <c r="P251">
        <v>2013</v>
      </c>
    </row>
    <row r="252" spans="1:16" x14ac:dyDescent="0.2">
      <c r="A252" t="s">
        <v>43</v>
      </c>
      <c r="B252" t="s">
        <v>32</v>
      </c>
      <c r="C252" t="s">
        <v>18</v>
      </c>
      <c r="D252" t="s">
        <v>40</v>
      </c>
      <c r="E252">
        <v>2030</v>
      </c>
      <c r="F252">
        <v>3</v>
      </c>
      <c r="G252">
        <v>15</v>
      </c>
      <c r="H252">
        <v>30450</v>
      </c>
      <c r="I252">
        <v>1827</v>
      </c>
      <c r="J252">
        <v>28623</v>
      </c>
      <c r="K252">
        <v>20300</v>
      </c>
      <c r="L252">
        <v>8323</v>
      </c>
      <c r="M252" s="2">
        <v>41944</v>
      </c>
      <c r="N252">
        <v>11</v>
      </c>
      <c r="O252" t="s">
        <v>36</v>
      </c>
      <c r="P252">
        <v>2014</v>
      </c>
    </row>
    <row r="253" spans="1:16" x14ac:dyDescent="0.2">
      <c r="A253" t="s">
        <v>44</v>
      </c>
      <c r="B253" t="s">
        <v>32</v>
      </c>
      <c r="C253" t="s">
        <v>23</v>
      </c>
      <c r="D253" t="s">
        <v>40</v>
      </c>
      <c r="E253">
        <v>2723</v>
      </c>
      <c r="F253">
        <v>5</v>
      </c>
      <c r="G253">
        <v>12</v>
      </c>
      <c r="H253">
        <v>32676</v>
      </c>
      <c r="I253">
        <v>1960.56</v>
      </c>
      <c r="J253">
        <v>30715.439999999999</v>
      </c>
      <c r="K253">
        <v>8169</v>
      </c>
      <c r="L253">
        <v>22546.44</v>
      </c>
      <c r="M253" s="2">
        <v>41944</v>
      </c>
      <c r="N253">
        <v>11</v>
      </c>
      <c r="O253" t="s">
        <v>36</v>
      </c>
      <c r="P253">
        <v>2014</v>
      </c>
    </row>
    <row r="254" spans="1:16" x14ac:dyDescent="0.2">
      <c r="A254" t="s">
        <v>43</v>
      </c>
      <c r="B254" t="s">
        <v>21</v>
      </c>
      <c r="C254" t="s">
        <v>34</v>
      </c>
      <c r="D254" t="s">
        <v>40</v>
      </c>
      <c r="E254">
        <v>1530</v>
      </c>
      <c r="F254">
        <v>120</v>
      </c>
      <c r="G254">
        <v>15</v>
      </c>
      <c r="H254">
        <v>22950</v>
      </c>
      <c r="I254">
        <v>1377</v>
      </c>
      <c r="J254">
        <v>21573</v>
      </c>
      <c r="K254">
        <v>15300</v>
      </c>
      <c r="L254">
        <v>6273</v>
      </c>
      <c r="M254" s="2">
        <v>41760</v>
      </c>
      <c r="N254">
        <v>5</v>
      </c>
      <c r="O254" t="s">
        <v>38</v>
      </c>
      <c r="P254">
        <v>2014</v>
      </c>
    </row>
    <row r="255" spans="1:16" x14ac:dyDescent="0.2">
      <c r="A255" t="s">
        <v>43</v>
      </c>
      <c r="B255" t="s">
        <v>17</v>
      </c>
      <c r="C255" t="s">
        <v>28</v>
      </c>
      <c r="D255" t="s">
        <v>40</v>
      </c>
      <c r="E255">
        <v>2844</v>
      </c>
      <c r="F255">
        <v>250</v>
      </c>
      <c r="G255">
        <v>15</v>
      </c>
      <c r="H255">
        <v>42660</v>
      </c>
      <c r="I255">
        <v>2559.6</v>
      </c>
      <c r="J255">
        <v>40100.400000000001</v>
      </c>
      <c r="K255">
        <v>28440</v>
      </c>
      <c r="L255">
        <v>11660.4</v>
      </c>
      <c r="M255" s="2">
        <v>41791</v>
      </c>
      <c r="N255">
        <v>6</v>
      </c>
      <c r="O255" t="s">
        <v>24</v>
      </c>
      <c r="P255">
        <v>2014</v>
      </c>
    </row>
    <row r="256" spans="1:16" x14ac:dyDescent="0.2">
      <c r="A256" t="s">
        <v>43</v>
      </c>
      <c r="B256" t="s">
        <v>32</v>
      </c>
      <c r="C256" t="s">
        <v>28</v>
      </c>
      <c r="D256" t="s">
        <v>40</v>
      </c>
      <c r="E256">
        <v>1153</v>
      </c>
      <c r="F256">
        <v>250</v>
      </c>
      <c r="G256">
        <v>15</v>
      </c>
      <c r="H256">
        <v>17295</v>
      </c>
      <c r="I256">
        <v>1037.7</v>
      </c>
      <c r="J256">
        <v>16257.3</v>
      </c>
      <c r="K256">
        <v>11530</v>
      </c>
      <c r="L256">
        <v>4727.3</v>
      </c>
      <c r="M256" s="2">
        <v>41913</v>
      </c>
      <c r="N256">
        <v>10</v>
      </c>
      <c r="O256" t="s">
        <v>33</v>
      </c>
      <c r="P256">
        <v>2014</v>
      </c>
    </row>
    <row r="257" spans="1:16" x14ac:dyDescent="0.2">
      <c r="A257" t="s">
        <v>44</v>
      </c>
      <c r="B257" t="s">
        <v>35</v>
      </c>
      <c r="C257" t="s">
        <v>18</v>
      </c>
      <c r="D257" t="s">
        <v>40</v>
      </c>
      <c r="E257">
        <v>727</v>
      </c>
      <c r="F257">
        <v>3</v>
      </c>
      <c r="G257">
        <v>12</v>
      </c>
      <c r="H257">
        <v>8724</v>
      </c>
      <c r="I257">
        <v>610.67999999999995</v>
      </c>
      <c r="J257">
        <v>8113.32</v>
      </c>
      <c r="K257">
        <v>2181</v>
      </c>
      <c r="L257">
        <v>5932.32</v>
      </c>
      <c r="M257" s="2">
        <v>41671</v>
      </c>
      <c r="N257">
        <v>2</v>
      </c>
      <c r="O257" t="s">
        <v>26</v>
      </c>
      <c r="P257">
        <v>2014</v>
      </c>
    </row>
    <row r="258" spans="1:16" x14ac:dyDescent="0.2">
      <c r="A258" t="s">
        <v>44</v>
      </c>
      <c r="B258" t="s">
        <v>17</v>
      </c>
      <c r="C258" t="s">
        <v>18</v>
      </c>
      <c r="D258" t="s">
        <v>40</v>
      </c>
      <c r="E258">
        <v>1884</v>
      </c>
      <c r="F258">
        <v>3</v>
      </c>
      <c r="G258">
        <v>12</v>
      </c>
      <c r="H258">
        <v>22608</v>
      </c>
      <c r="I258">
        <v>1582.56</v>
      </c>
      <c r="J258">
        <v>21025.439999999999</v>
      </c>
      <c r="K258">
        <v>5652</v>
      </c>
      <c r="L258">
        <v>15373.44</v>
      </c>
      <c r="M258" s="2">
        <v>41852</v>
      </c>
      <c r="N258">
        <v>8</v>
      </c>
      <c r="O258" t="s">
        <v>41</v>
      </c>
      <c r="P258">
        <v>2014</v>
      </c>
    </row>
    <row r="259" spans="1:16" x14ac:dyDescent="0.2">
      <c r="A259" t="s">
        <v>44</v>
      </c>
      <c r="B259" t="s">
        <v>35</v>
      </c>
      <c r="C259" t="s">
        <v>23</v>
      </c>
      <c r="D259" t="s">
        <v>40</v>
      </c>
      <c r="E259">
        <v>2340</v>
      </c>
      <c r="F259">
        <v>5</v>
      </c>
      <c r="G259">
        <v>12</v>
      </c>
      <c r="H259">
        <v>28080</v>
      </c>
      <c r="I259">
        <v>1965.6</v>
      </c>
      <c r="J259">
        <v>26114.400000000001</v>
      </c>
      <c r="K259">
        <v>7020</v>
      </c>
      <c r="L259">
        <v>19094.400000000001</v>
      </c>
      <c r="M259" s="2">
        <v>41640</v>
      </c>
      <c r="N259">
        <v>1</v>
      </c>
      <c r="O259" t="s">
        <v>20</v>
      </c>
      <c r="P259">
        <v>2014</v>
      </c>
    </row>
    <row r="260" spans="1:16" x14ac:dyDescent="0.2">
      <c r="A260" t="s">
        <v>44</v>
      </c>
      <c r="B260" t="s">
        <v>22</v>
      </c>
      <c r="C260" t="s">
        <v>23</v>
      </c>
      <c r="D260" t="s">
        <v>40</v>
      </c>
      <c r="E260">
        <v>2342</v>
      </c>
      <c r="F260">
        <v>5</v>
      </c>
      <c r="G260">
        <v>12</v>
      </c>
      <c r="H260">
        <v>28104</v>
      </c>
      <c r="I260">
        <v>1967.28</v>
      </c>
      <c r="J260">
        <v>26136.720000000001</v>
      </c>
      <c r="K260">
        <v>7026</v>
      </c>
      <c r="L260">
        <v>19110.72</v>
      </c>
      <c r="M260" s="2">
        <v>41944</v>
      </c>
      <c r="N260">
        <v>11</v>
      </c>
      <c r="O260" t="s">
        <v>36</v>
      </c>
      <c r="P260">
        <v>2014</v>
      </c>
    </row>
    <row r="261" spans="1:16" x14ac:dyDescent="0.2">
      <c r="A261" t="s">
        <v>43</v>
      </c>
      <c r="B261" t="s">
        <v>17</v>
      </c>
      <c r="C261" t="s">
        <v>34</v>
      </c>
      <c r="D261" t="s">
        <v>40</v>
      </c>
      <c r="E261">
        <v>1262</v>
      </c>
      <c r="F261">
        <v>120</v>
      </c>
      <c r="G261">
        <v>15</v>
      </c>
      <c r="H261">
        <v>18930</v>
      </c>
      <c r="I261">
        <v>1325.1</v>
      </c>
      <c r="J261">
        <v>17604.900000000001</v>
      </c>
      <c r="K261">
        <v>12620</v>
      </c>
      <c r="L261">
        <v>4984.8999999999996</v>
      </c>
      <c r="M261" s="2">
        <v>41760</v>
      </c>
      <c r="N261">
        <v>5</v>
      </c>
      <c r="O261" t="s">
        <v>38</v>
      </c>
      <c r="P261">
        <v>2014</v>
      </c>
    </row>
    <row r="262" spans="1:16" x14ac:dyDescent="0.2">
      <c r="A262" t="s">
        <v>44</v>
      </c>
      <c r="B262" t="s">
        <v>22</v>
      </c>
      <c r="C262" t="s">
        <v>28</v>
      </c>
      <c r="D262" t="s">
        <v>40</v>
      </c>
      <c r="E262">
        <v>1738.5</v>
      </c>
      <c r="F262">
        <v>250</v>
      </c>
      <c r="G262">
        <v>12</v>
      </c>
      <c r="H262">
        <v>20862</v>
      </c>
      <c r="I262">
        <v>1460.34</v>
      </c>
      <c r="J262">
        <v>19401.66</v>
      </c>
      <c r="K262">
        <v>5215.5</v>
      </c>
      <c r="L262">
        <v>14186.16</v>
      </c>
      <c r="M262" s="2">
        <v>41730</v>
      </c>
      <c r="N262">
        <v>4</v>
      </c>
      <c r="O262" t="s">
        <v>37</v>
      </c>
      <c r="P262">
        <v>2014</v>
      </c>
    </row>
    <row r="263" spans="1:16" x14ac:dyDescent="0.2">
      <c r="A263" t="s">
        <v>44</v>
      </c>
      <c r="B263" t="s">
        <v>21</v>
      </c>
      <c r="C263" t="s">
        <v>28</v>
      </c>
      <c r="D263" t="s">
        <v>40</v>
      </c>
      <c r="E263">
        <v>2215</v>
      </c>
      <c r="F263">
        <v>250</v>
      </c>
      <c r="G263">
        <v>12</v>
      </c>
      <c r="H263">
        <v>26580</v>
      </c>
      <c r="I263">
        <v>1860.6</v>
      </c>
      <c r="J263">
        <v>24719.4</v>
      </c>
      <c r="K263">
        <v>6645</v>
      </c>
      <c r="L263">
        <v>18074.400000000001</v>
      </c>
      <c r="M263" s="2">
        <v>41518</v>
      </c>
      <c r="N263">
        <v>9</v>
      </c>
      <c r="O263" t="s">
        <v>39</v>
      </c>
      <c r="P263">
        <v>2013</v>
      </c>
    </row>
    <row r="264" spans="1:16" x14ac:dyDescent="0.2">
      <c r="A264" t="s">
        <v>44</v>
      </c>
      <c r="B264" t="s">
        <v>17</v>
      </c>
      <c r="C264" t="s">
        <v>28</v>
      </c>
      <c r="D264" t="s">
        <v>40</v>
      </c>
      <c r="E264">
        <v>3244.5</v>
      </c>
      <c r="F264">
        <v>250</v>
      </c>
      <c r="G264">
        <v>12</v>
      </c>
      <c r="H264">
        <v>38934</v>
      </c>
      <c r="I264">
        <v>2725.38</v>
      </c>
      <c r="J264">
        <v>36208.620000000003</v>
      </c>
      <c r="K264">
        <v>9733.5</v>
      </c>
      <c r="L264">
        <v>26475.119999999999</v>
      </c>
      <c r="M264" s="2">
        <v>41640</v>
      </c>
      <c r="N264">
        <v>1</v>
      </c>
      <c r="O264" t="s">
        <v>20</v>
      </c>
      <c r="P264">
        <v>2014</v>
      </c>
    </row>
    <row r="265" spans="1:16" x14ac:dyDescent="0.2">
      <c r="A265" t="s">
        <v>43</v>
      </c>
      <c r="B265" t="s">
        <v>22</v>
      </c>
      <c r="C265" t="s">
        <v>18</v>
      </c>
      <c r="D265" t="s">
        <v>40</v>
      </c>
      <c r="E265">
        <v>490</v>
      </c>
      <c r="F265">
        <v>3</v>
      </c>
      <c r="G265">
        <v>15</v>
      </c>
      <c r="H265">
        <v>7350</v>
      </c>
      <c r="I265">
        <v>588</v>
      </c>
      <c r="J265">
        <v>6762</v>
      </c>
      <c r="K265">
        <v>4900</v>
      </c>
      <c r="L265">
        <v>1862</v>
      </c>
      <c r="M265" s="2">
        <v>41944</v>
      </c>
      <c r="N265">
        <v>11</v>
      </c>
      <c r="O265" t="s">
        <v>36</v>
      </c>
      <c r="P265">
        <v>2014</v>
      </c>
    </row>
    <row r="266" spans="1:16" x14ac:dyDescent="0.2">
      <c r="A266" t="s">
        <v>43</v>
      </c>
      <c r="B266" t="s">
        <v>22</v>
      </c>
      <c r="C266" t="s">
        <v>23</v>
      </c>
      <c r="D266" t="s">
        <v>40</v>
      </c>
      <c r="E266">
        <v>2501</v>
      </c>
      <c r="F266">
        <v>5</v>
      </c>
      <c r="G266">
        <v>15</v>
      </c>
      <c r="H266">
        <v>37515</v>
      </c>
      <c r="I266">
        <v>3001.2</v>
      </c>
      <c r="J266">
        <v>34513.800000000003</v>
      </c>
      <c r="K266">
        <v>25010</v>
      </c>
      <c r="L266">
        <v>9503.7999999999993</v>
      </c>
      <c r="M266" s="2">
        <v>41699</v>
      </c>
      <c r="N266">
        <v>3</v>
      </c>
      <c r="O266" t="s">
        <v>42</v>
      </c>
      <c r="P266">
        <v>2014</v>
      </c>
    </row>
    <row r="267" spans="1:16" x14ac:dyDescent="0.2">
      <c r="A267" t="s">
        <v>43</v>
      </c>
      <c r="B267" t="s">
        <v>21</v>
      </c>
      <c r="C267" t="s">
        <v>23</v>
      </c>
      <c r="D267" t="s">
        <v>40</v>
      </c>
      <c r="E267">
        <v>711</v>
      </c>
      <c r="F267">
        <v>5</v>
      </c>
      <c r="G267">
        <v>15</v>
      </c>
      <c r="H267">
        <v>10665</v>
      </c>
      <c r="I267">
        <v>853.2</v>
      </c>
      <c r="J267">
        <v>9811.7999999999993</v>
      </c>
      <c r="K267">
        <v>7110</v>
      </c>
      <c r="L267">
        <v>2701.8</v>
      </c>
      <c r="M267" s="2">
        <v>41974</v>
      </c>
      <c r="N267">
        <v>12</v>
      </c>
      <c r="O267" t="s">
        <v>27</v>
      </c>
      <c r="P267">
        <v>2014</v>
      </c>
    </row>
    <row r="268" spans="1:16" x14ac:dyDescent="0.2">
      <c r="A268" t="s">
        <v>44</v>
      </c>
      <c r="B268" t="s">
        <v>17</v>
      </c>
      <c r="C268" t="s">
        <v>34</v>
      </c>
      <c r="D268" t="s">
        <v>40</v>
      </c>
      <c r="E268">
        <v>598</v>
      </c>
      <c r="F268">
        <v>120</v>
      </c>
      <c r="G268">
        <v>12</v>
      </c>
      <c r="H268">
        <v>7176</v>
      </c>
      <c r="I268">
        <v>574.08000000000004</v>
      </c>
      <c r="J268">
        <v>6601.92</v>
      </c>
      <c r="K268">
        <v>1794</v>
      </c>
      <c r="L268">
        <v>4807.92</v>
      </c>
      <c r="M268" s="2">
        <v>41699</v>
      </c>
      <c r="N268">
        <v>3</v>
      </c>
      <c r="O268" t="s">
        <v>42</v>
      </c>
      <c r="P268">
        <v>2014</v>
      </c>
    </row>
    <row r="269" spans="1:16" x14ac:dyDescent="0.2">
      <c r="A269" t="s">
        <v>43</v>
      </c>
      <c r="B269" t="s">
        <v>21</v>
      </c>
      <c r="C269" t="s">
        <v>29</v>
      </c>
      <c r="D269" t="s">
        <v>40</v>
      </c>
      <c r="E269">
        <v>711</v>
      </c>
      <c r="F269">
        <v>260</v>
      </c>
      <c r="G269">
        <v>15</v>
      </c>
      <c r="H269">
        <v>10665</v>
      </c>
      <c r="I269">
        <v>853.2</v>
      </c>
      <c r="J269">
        <v>9811.7999999999993</v>
      </c>
      <c r="K269">
        <v>7110</v>
      </c>
      <c r="L269">
        <v>2701.8</v>
      </c>
      <c r="M269" s="2">
        <v>41974</v>
      </c>
      <c r="N269">
        <v>12</v>
      </c>
      <c r="O269" t="s">
        <v>27</v>
      </c>
      <c r="P269">
        <v>2014</v>
      </c>
    </row>
    <row r="270" spans="1:16" x14ac:dyDescent="0.2">
      <c r="A270" t="s">
        <v>44</v>
      </c>
      <c r="B270" t="s">
        <v>35</v>
      </c>
      <c r="C270" t="s">
        <v>29</v>
      </c>
      <c r="D270" t="s">
        <v>40</v>
      </c>
      <c r="E270">
        <v>1375</v>
      </c>
      <c r="F270">
        <v>260</v>
      </c>
      <c r="G270">
        <v>12</v>
      </c>
      <c r="H270">
        <v>16500</v>
      </c>
      <c r="I270">
        <v>1320</v>
      </c>
      <c r="J270">
        <v>15180</v>
      </c>
      <c r="K270">
        <v>4125</v>
      </c>
      <c r="L270">
        <v>11055</v>
      </c>
      <c r="M270" s="2">
        <v>41609</v>
      </c>
      <c r="N270">
        <v>12</v>
      </c>
      <c r="O270" t="s">
        <v>27</v>
      </c>
      <c r="P270">
        <v>2013</v>
      </c>
    </row>
    <row r="271" spans="1:16" x14ac:dyDescent="0.2">
      <c r="A271" t="s">
        <v>44</v>
      </c>
      <c r="B271" t="s">
        <v>35</v>
      </c>
      <c r="C271" t="s">
        <v>18</v>
      </c>
      <c r="D271" t="s">
        <v>40</v>
      </c>
      <c r="E271">
        <v>367</v>
      </c>
      <c r="F271">
        <v>3</v>
      </c>
      <c r="G271">
        <v>12</v>
      </c>
      <c r="H271">
        <v>4404</v>
      </c>
      <c r="I271">
        <v>396.36</v>
      </c>
      <c r="J271">
        <v>4007.64</v>
      </c>
      <c r="K271">
        <v>1101</v>
      </c>
      <c r="L271">
        <v>2906.64</v>
      </c>
      <c r="M271" s="2">
        <v>41548</v>
      </c>
      <c r="N271">
        <v>10</v>
      </c>
      <c r="O271" t="s">
        <v>33</v>
      </c>
      <c r="P271">
        <v>2013</v>
      </c>
    </row>
    <row r="272" spans="1:16" x14ac:dyDescent="0.2">
      <c r="A272" t="s">
        <v>44</v>
      </c>
      <c r="B272" t="s">
        <v>17</v>
      </c>
      <c r="C272" t="s">
        <v>23</v>
      </c>
      <c r="D272" t="s">
        <v>40</v>
      </c>
      <c r="E272">
        <v>2321</v>
      </c>
      <c r="F272">
        <v>5</v>
      </c>
      <c r="G272">
        <v>12</v>
      </c>
      <c r="H272">
        <v>27852</v>
      </c>
      <c r="I272">
        <v>2506.6799999999998</v>
      </c>
      <c r="J272">
        <v>25345.32</v>
      </c>
      <c r="K272">
        <v>6963</v>
      </c>
      <c r="L272">
        <v>18382.32</v>
      </c>
      <c r="M272" s="2">
        <v>41944</v>
      </c>
      <c r="N272">
        <v>11</v>
      </c>
      <c r="O272" t="s">
        <v>36</v>
      </c>
      <c r="P272">
        <v>2014</v>
      </c>
    </row>
    <row r="273" spans="1:16" x14ac:dyDescent="0.2">
      <c r="A273" t="s">
        <v>43</v>
      </c>
      <c r="B273" t="s">
        <v>35</v>
      </c>
      <c r="C273" t="s">
        <v>34</v>
      </c>
      <c r="D273" t="s">
        <v>40</v>
      </c>
      <c r="E273">
        <v>245</v>
      </c>
      <c r="F273">
        <v>120</v>
      </c>
      <c r="G273">
        <v>15</v>
      </c>
      <c r="H273">
        <v>3675</v>
      </c>
      <c r="I273">
        <v>330.75</v>
      </c>
      <c r="J273">
        <v>3344.25</v>
      </c>
      <c r="K273">
        <v>2450</v>
      </c>
      <c r="L273">
        <v>894.25</v>
      </c>
      <c r="M273" s="2">
        <v>41760</v>
      </c>
      <c r="N273">
        <v>5</v>
      </c>
      <c r="O273" t="s">
        <v>38</v>
      </c>
      <c r="P273">
        <v>2014</v>
      </c>
    </row>
    <row r="274" spans="1:16" x14ac:dyDescent="0.2">
      <c r="A274" t="s">
        <v>44</v>
      </c>
      <c r="B274" t="s">
        <v>32</v>
      </c>
      <c r="C274" t="s">
        <v>28</v>
      </c>
      <c r="D274" t="s">
        <v>40</v>
      </c>
      <c r="E274">
        <v>1956</v>
      </c>
      <c r="F274">
        <v>250</v>
      </c>
      <c r="G274">
        <v>12</v>
      </c>
      <c r="H274">
        <v>23472</v>
      </c>
      <c r="I274">
        <v>2112.48</v>
      </c>
      <c r="J274">
        <v>21359.52</v>
      </c>
      <c r="K274">
        <v>5868</v>
      </c>
      <c r="L274">
        <v>15491.52</v>
      </c>
      <c r="M274" s="2">
        <v>41640</v>
      </c>
      <c r="N274">
        <v>1</v>
      </c>
      <c r="O274" t="s">
        <v>20</v>
      </c>
      <c r="P274">
        <v>2014</v>
      </c>
    </row>
    <row r="275" spans="1:16" x14ac:dyDescent="0.2">
      <c r="A275" t="s">
        <v>44</v>
      </c>
      <c r="B275" t="s">
        <v>21</v>
      </c>
      <c r="C275" t="s">
        <v>28</v>
      </c>
      <c r="D275" t="s">
        <v>40</v>
      </c>
      <c r="E275">
        <v>880</v>
      </c>
      <c r="F275">
        <v>250</v>
      </c>
      <c r="G275">
        <v>12</v>
      </c>
      <c r="H275">
        <v>10560</v>
      </c>
      <c r="I275">
        <v>950.4</v>
      </c>
      <c r="J275">
        <v>9609.6</v>
      </c>
      <c r="K275">
        <v>2640</v>
      </c>
      <c r="L275">
        <v>6969.6</v>
      </c>
      <c r="M275" s="2">
        <v>41760</v>
      </c>
      <c r="N275">
        <v>5</v>
      </c>
      <c r="O275" t="s">
        <v>38</v>
      </c>
      <c r="P275">
        <v>2014</v>
      </c>
    </row>
    <row r="276" spans="1:16" x14ac:dyDescent="0.2">
      <c r="A276" t="s">
        <v>44</v>
      </c>
      <c r="B276" t="s">
        <v>22</v>
      </c>
      <c r="C276" t="s">
        <v>28</v>
      </c>
      <c r="D276" t="s">
        <v>40</v>
      </c>
      <c r="E276">
        <v>2234</v>
      </c>
      <c r="F276">
        <v>250</v>
      </c>
      <c r="G276">
        <v>12</v>
      </c>
      <c r="H276">
        <v>26808</v>
      </c>
      <c r="I276">
        <v>2412.7199999999998</v>
      </c>
      <c r="J276">
        <v>24395.279999999999</v>
      </c>
      <c r="K276">
        <v>6702</v>
      </c>
      <c r="L276">
        <v>17693.28</v>
      </c>
      <c r="M276" s="2">
        <v>41518</v>
      </c>
      <c r="N276">
        <v>9</v>
      </c>
      <c r="O276" t="s">
        <v>39</v>
      </c>
      <c r="P276">
        <v>2013</v>
      </c>
    </row>
    <row r="277" spans="1:16" x14ac:dyDescent="0.2">
      <c r="A277" t="s">
        <v>43</v>
      </c>
      <c r="B277" t="s">
        <v>22</v>
      </c>
      <c r="C277" t="s">
        <v>28</v>
      </c>
      <c r="D277" t="s">
        <v>40</v>
      </c>
      <c r="E277">
        <v>1227</v>
      </c>
      <c r="F277">
        <v>250</v>
      </c>
      <c r="G277">
        <v>15</v>
      </c>
      <c r="H277">
        <v>18405</v>
      </c>
      <c r="I277">
        <v>1656.45</v>
      </c>
      <c r="J277">
        <v>16748.55</v>
      </c>
      <c r="K277">
        <v>12270</v>
      </c>
      <c r="L277">
        <v>4478.55</v>
      </c>
      <c r="M277" s="2">
        <v>41913</v>
      </c>
      <c r="N277">
        <v>10</v>
      </c>
      <c r="O277" t="s">
        <v>33</v>
      </c>
      <c r="P277">
        <v>2014</v>
      </c>
    </row>
    <row r="278" spans="1:16" x14ac:dyDescent="0.2">
      <c r="A278" t="s">
        <v>43</v>
      </c>
      <c r="B278" t="s">
        <v>21</v>
      </c>
      <c r="C278" t="s">
        <v>29</v>
      </c>
      <c r="D278" t="s">
        <v>40</v>
      </c>
      <c r="E278">
        <v>970</v>
      </c>
      <c r="F278">
        <v>260</v>
      </c>
      <c r="G278">
        <v>15</v>
      </c>
      <c r="H278">
        <v>14550</v>
      </c>
      <c r="I278">
        <v>1309.5</v>
      </c>
      <c r="J278">
        <v>13240.5</v>
      </c>
      <c r="K278">
        <v>9700</v>
      </c>
      <c r="L278">
        <v>3540.5</v>
      </c>
      <c r="M278" s="2">
        <v>41579</v>
      </c>
      <c r="N278">
        <v>11</v>
      </c>
      <c r="O278" t="s">
        <v>36</v>
      </c>
      <c r="P278">
        <v>2013</v>
      </c>
    </row>
    <row r="279" spans="1:16" x14ac:dyDescent="0.2">
      <c r="A279" t="s">
        <v>44</v>
      </c>
      <c r="B279" t="s">
        <v>21</v>
      </c>
      <c r="C279" t="s">
        <v>18</v>
      </c>
      <c r="D279" t="s">
        <v>40</v>
      </c>
      <c r="E279">
        <v>1580</v>
      </c>
      <c r="F279">
        <v>3</v>
      </c>
      <c r="G279">
        <v>12</v>
      </c>
      <c r="H279">
        <v>18960</v>
      </c>
      <c r="I279">
        <v>1706.4</v>
      </c>
      <c r="J279">
        <v>17253.599999999999</v>
      </c>
      <c r="K279">
        <v>4740</v>
      </c>
      <c r="L279">
        <v>12513.6</v>
      </c>
      <c r="M279" s="2">
        <v>41883</v>
      </c>
      <c r="N279">
        <v>9</v>
      </c>
      <c r="O279" t="s">
        <v>39</v>
      </c>
      <c r="P279">
        <v>2014</v>
      </c>
    </row>
    <row r="280" spans="1:16" x14ac:dyDescent="0.2">
      <c r="A280" t="s">
        <v>44</v>
      </c>
      <c r="B280" t="s">
        <v>22</v>
      </c>
      <c r="C280" t="s">
        <v>34</v>
      </c>
      <c r="D280" t="s">
        <v>40</v>
      </c>
      <c r="E280">
        <v>1967</v>
      </c>
      <c r="F280">
        <v>120</v>
      </c>
      <c r="G280">
        <v>12</v>
      </c>
      <c r="H280">
        <v>23604</v>
      </c>
      <c r="I280">
        <v>2124.36</v>
      </c>
      <c r="J280">
        <v>21479.64</v>
      </c>
      <c r="K280">
        <v>5901</v>
      </c>
      <c r="L280">
        <v>15578.64</v>
      </c>
      <c r="M280" s="2">
        <v>41699</v>
      </c>
      <c r="N280">
        <v>3</v>
      </c>
      <c r="O280" t="s">
        <v>42</v>
      </c>
      <c r="P280">
        <v>2014</v>
      </c>
    </row>
    <row r="281" spans="1:16" x14ac:dyDescent="0.2">
      <c r="A281" t="s">
        <v>43</v>
      </c>
      <c r="B281" t="s">
        <v>35</v>
      </c>
      <c r="C281" t="s">
        <v>34</v>
      </c>
      <c r="D281" t="s">
        <v>40</v>
      </c>
      <c r="E281">
        <v>2628</v>
      </c>
      <c r="F281">
        <v>120</v>
      </c>
      <c r="G281">
        <v>15</v>
      </c>
      <c r="H281">
        <v>39420</v>
      </c>
      <c r="I281">
        <v>3547.8</v>
      </c>
      <c r="J281">
        <v>35872.199999999997</v>
      </c>
      <c r="K281">
        <v>26280</v>
      </c>
      <c r="L281">
        <v>9592.2000000000007</v>
      </c>
      <c r="M281" s="2">
        <v>41730</v>
      </c>
      <c r="N281">
        <v>4</v>
      </c>
      <c r="O281" t="s">
        <v>37</v>
      </c>
      <c r="P281">
        <v>2014</v>
      </c>
    </row>
    <row r="282" spans="1:16" x14ac:dyDescent="0.2">
      <c r="A282" t="s">
        <v>43</v>
      </c>
      <c r="B282" t="s">
        <v>17</v>
      </c>
      <c r="C282" t="s">
        <v>29</v>
      </c>
      <c r="D282" t="s">
        <v>40</v>
      </c>
      <c r="E282">
        <v>1630.5</v>
      </c>
      <c r="F282">
        <v>260</v>
      </c>
      <c r="G282">
        <v>15</v>
      </c>
      <c r="H282">
        <v>24457.5</v>
      </c>
      <c r="I282">
        <v>2201.1750000000002</v>
      </c>
      <c r="J282">
        <v>22256.325000000001</v>
      </c>
      <c r="K282">
        <v>16305</v>
      </c>
      <c r="L282">
        <v>5951.3249999999998</v>
      </c>
      <c r="M282" s="2">
        <v>41821</v>
      </c>
      <c r="N282">
        <v>7</v>
      </c>
      <c r="O282" t="s">
        <v>31</v>
      </c>
      <c r="P282">
        <v>2014</v>
      </c>
    </row>
    <row r="283" spans="1:16" x14ac:dyDescent="0.2">
      <c r="A283" t="s">
        <v>44</v>
      </c>
      <c r="B283" t="s">
        <v>22</v>
      </c>
      <c r="C283" t="s">
        <v>29</v>
      </c>
      <c r="D283" t="s">
        <v>40</v>
      </c>
      <c r="E283">
        <v>306</v>
      </c>
      <c r="F283">
        <v>260</v>
      </c>
      <c r="G283">
        <v>12</v>
      </c>
      <c r="H283">
        <v>3672</v>
      </c>
      <c r="I283">
        <v>330.48</v>
      </c>
      <c r="J283">
        <v>3341.52</v>
      </c>
      <c r="K283">
        <v>918</v>
      </c>
      <c r="L283">
        <v>2423.52</v>
      </c>
      <c r="M283" s="2">
        <v>41609</v>
      </c>
      <c r="N283">
        <v>12</v>
      </c>
      <c r="O283" t="s">
        <v>27</v>
      </c>
      <c r="P283">
        <v>2013</v>
      </c>
    </row>
    <row r="284" spans="1:16" x14ac:dyDescent="0.2">
      <c r="A284" t="s">
        <v>44</v>
      </c>
      <c r="B284" t="s">
        <v>32</v>
      </c>
      <c r="C284" t="s">
        <v>18</v>
      </c>
      <c r="D284" t="s">
        <v>19</v>
      </c>
      <c r="E284">
        <v>386</v>
      </c>
      <c r="F284">
        <v>3</v>
      </c>
      <c r="G284">
        <v>12</v>
      </c>
      <c r="H284">
        <v>4632</v>
      </c>
      <c r="I284">
        <v>463.2</v>
      </c>
      <c r="J284">
        <v>4168.8</v>
      </c>
      <c r="K284">
        <v>1158</v>
      </c>
      <c r="L284">
        <v>3010.8</v>
      </c>
      <c r="M284" s="2">
        <v>41548</v>
      </c>
      <c r="N284">
        <v>10</v>
      </c>
      <c r="O284" t="s">
        <v>33</v>
      </c>
      <c r="P284">
        <v>2013</v>
      </c>
    </row>
    <row r="285" spans="1:16" x14ac:dyDescent="0.2">
      <c r="A285" t="s">
        <v>43</v>
      </c>
      <c r="B285" t="s">
        <v>22</v>
      </c>
      <c r="C285" t="s">
        <v>23</v>
      </c>
      <c r="D285" t="s">
        <v>19</v>
      </c>
      <c r="E285">
        <v>2072</v>
      </c>
      <c r="F285">
        <v>5</v>
      </c>
      <c r="G285">
        <v>15</v>
      </c>
      <c r="H285">
        <v>31080</v>
      </c>
      <c r="I285">
        <v>3108</v>
      </c>
      <c r="J285">
        <v>27972</v>
      </c>
      <c r="K285">
        <v>20720</v>
      </c>
      <c r="L285">
        <v>7252</v>
      </c>
      <c r="M285" s="2">
        <v>41974</v>
      </c>
      <c r="N285">
        <v>12</v>
      </c>
      <c r="O285" t="s">
        <v>27</v>
      </c>
      <c r="P285">
        <v>2014</v>
      </c>
    </row>
    <row r="286" spans="1:16" x14ac:dyDescent="0.2">
      <c r="A286" t="s">
        <v>43</v>
      </c>
      <c r="B286" t="s">
        <v>21</v>
      </c>
      <c r="C286" t="s">
        <v>34</v>
      </c>
      <c r="D286" t="s">
        <v>19</v>
      </c>
      <c r="E286">
        <v>681</v>
      </c>
      <c r="F286">
        <v>120</v>
      </c>
      <c r="G286">
        <v>15</v>
      </c>
      <c r="H286">
        <v>10215</v>
      </c>
      <c r="I286">
        <v>1021.5</v>
      </c>
      <c r="J286">
        <v>9193.5</v>
      </c>
      <c r="K286">
        <v>6810</v>
      </c>
      <c r="L286">
        <v>2383.5</v>
      </c>
      <c r="M286" s="2">
        <v>41640</v>
      </c>
      <c r="N286">
        <v>1</v>
      </c>
      <c r="O286" t="s">
        <v>20</v>
      </c>
      <c r="P286">
        <v>2014</v>
      </c>
    </row>
    <row r="287" spans="1:16" x14ac:dyDescent="0.2">
      <c r="A287" t="s">
        <v>43</v>
      </c>
      <c r="B287" t="s">
        <v>21</v>
      </c>
      <c r="C287" t="s">
        <v>34</v>
      </c>
      <c r="D287" t="s">
        <v>19</v>
      </c>
      <c r="E287">
        <v>510</v>
      </c>
      <c r="F287">
        <v>120</v>
      </c>
      <c r="G287">
        <v>15</v>
      </c>
      <c r="H287">
        <v>7650</v>
      </c>
      <c r="I287">
        <v>765</v>
      </c>
      <c r="J287">
        <v>6885</v>
      </c>
      <c r="K287">
        <v>5100</v>
      </c>
      <c r="L287">
        <v>1785</v>
      </c>
      <c r="M287" s="2">
        <v>41730</v>
      </c>
      <c r="N287">
        <v>4</v>
      </c>
      <c r="O287" t="s">
        <v>37</v>
      </c>
      <c r="P287">
        <v>2014</v>
      </c>
    </row>
    <row r="288" spans="1:16" x14ac:dyDescent="0.2">
      <c r="A288" t="s">
        <v>43</v>
      </c>
      <c r="B288" t="s">
        <v>32</v>
      </c>
      <c r="C288" t="s">
        <v>34</v>
      </c>
      <c r="D288" t="s">
        <v>19</v>
      </c>
      <c r="E288">
        <v>790</v>
      </c>
      <c r="F288">
        <v>120</v>
      </c>
      <c r="G288">
        <v>15</v>
      </c>
      <c r="H288">
        <v>11850</v>
      </c>
      <c r="I288">
        <v>1185</v>
      </c>
      <c r="J288">
        <v>10665</v>
      </c>
      <c r="K288">
        <v>7900</v>
      </c>
      <c r="L288">
        <v>2765</v>
      </c>
      <c r="M288" s="2">
        <v>41760</v>
      </c>
      <c r="N288">
        <v>5</v>
      </c>
      <c r="O288" t="s">
        <v>38</v>
      </c>
      <c r="P288">
        <v>2014</v>
      </c>
    </row>
    <row r="289" spans="1:16" x14ac:dyDescent="0.2">
      <c r="A289" t="s">
        <v>45</v>
      </c>
      <c r="B289" t="s">
        <v>35</v>
      </c>
      <c r="C289" t="s">
        <v>28</v>
      </c>
      <c r="D289" t="s">
        <v>19</v>
      </c>
      <c r="E289">
        <v>341</v>
      </c>
      <c r="F289">
        <v>250</v>
      </c>
      <c r="G289">
        <v>125</v>
      </c>
      <c r="H289">
        <v>42625</v>
      </c>
      <c r="I289">
        <v>4262.5</v>
      </c>
      <c r="J289">
        <v>38362.5</v>
      </c>
      <c r="K289">
        <v>40920</v>
      </c>
      <c r="L289">
        <v>-2557.5</v>
      </c>
      <c r="M289" s="2">
        <v>41760</v>
      </c>
      <c r="N289">
        <v>5</v>
      </c>
      <c r="O289" t="s">
        <v>38</v>
      </c>
      <c r="P289">
        <v>2014</v>
      </c>
    </row>
    <row r="290" spans="1:16" x14ac:dyDescent="0.2">
      <c r="A290" t="s">
        <v>43</v>
      </c>
      <c r="B290" t="s">
        <v>35</v>
      </c>
      <c r="C290" t="s">
        <v>28</v>
      </c>
      <c r="D290" t="s">
        <v>19</v>
      </c>
      <c r="E290">
        <v>641</v>
      </c>
      <c r="F290">
        <v>250</v>
      </c>
      <c r="G290">
        <v>15</v>
      </c>
      <c r="H290">
        <v>9615</v>
      </c>
      <c r="I290">
        <v>961.5</v>
      </c>
      <c r="J290">
        <v>8653.5</v>
      </c>
      <c r="K290">
        <v>6410</v>
      </c>
      <c r="L290">
        <v>2243.5</v>
      </c>
      <c r="M290" s="2">
        <v>41821</v>
      </c>
      <c r="N290">
        <v>7</v>
      </c>
      <c r="O290" t="s">
        <v>31</v>
      </c>
      <c r="P290">
        <v>2014</v>
      </c>
    </row>
    <row r="291" spans="1:16" x14ac:dyDescent="0.2">
      <c r="A291" t="s">
        <v>43</v>
      </c>
      <c r="B291" t="s">
        <v>22</v>
      </c>
      <c r="C291" t="s">
        <v>28</v>
      </c>
      <c r="D291" t="s">
        <v>19</v>
      </c>
      <c r="E291">
        <v>2167</v>
      </c>
      <c r="F291">
        <v>250</v>
      </c>
      <c r="G291">
        <v>15</v>
      </c>
      <c r="H291">
        <v>32505</v>
      </c>
      <c r="I291">
        <v>3250.5</v>
      </c>
      <c r="J291">
        <v>29254.5</v>
      </c>
      <c r="K291">
        <v>21670</v>
      </c>
      <c r="L291">
        <v>7584.5</v>
      </c>
      <c r="M291" s="2">
        <v>41548</v>
      </c>
      <c r="N291">
        <v>10</v>
      </c>
      <c r="O291" t="s">
        <v>33</v>
      </c>
      <c r="P291">
        <v>2013</v>
      </c>
    </row>
    <row r="292" spans="1:16" x14ac:dyDescent="0.2">
      <c r="A292" t="s">
        <v>44</v>
      </c>
      <c r="B292" t="s">
        <v>17</v>
      </c>
      <c r="C292" t="s">
        <v>29</v>
      </c>
      <c r="D292" t="s">
        <v>19</v>
      </c>
      <c r="E292">
        <v>3520.5</v>
      </c>
      <c r="F292">
        <v>260</v>
      </c>
      <c r="G292">
        <v>12</v>
      </c>
      <c r="H292">
        <v>42246</v>
      </c>
      <c r="I292">
        <v>4224.6000000000004</v>
      </c>
      <c r="J292">
        <v>38021.4</v>
      </c>
      <c r="K292">
        <v>10561.5</v>
      </c>
      <c r="L292">
        <v>27459.9</v>
      </c>
      <c r="M292" s="2">
        <v>41730</v>
      </c>
      <c r="N292">
        <v>4</v>
      </c>
      <c r="O292" t="s">
        <v>37</v>
      </c>
      <c r="P292">
        <v>2014</v>
      </c>
    </row>
    <row r="293" spans="1:16" x14ac:dyDescent="0.2">
      <c r="A293" t="s">
        <v>44</v>
      </c>
      <c r="B293" t="s">
        <v>21</v>
      </c>
      <c r="C293" t="s">
        <v>29</v>
      </c>
      <c r="D293" t="s">
        <v>19</v>
      </c>
      <c r="E293">
        <v>2574</v>
      </c>
      <c r="F293">
        <v>260</v>
      </c>
      <c r="G293">
        <v>12</v>
      </c>
      <c r="H293">
        <v>30888</v>
      </c>
      <c r="I293">
        <v>3088.8</v>
      </c>
      <c r="J293">
        <v>27799.200000000001</v>
      </c>
      <c r="K293">
        <v>7722</v>
      </c>
      <c r="L293">
        <v>20077.2</v>
      </c>
      <c r="M293" s="2">
        <v>41852</v>
      </c>
      <c r="N293">
        <v>8</v>
      </c>
      <c r="O293" t="s">
        <v>41</v>
      </c>
      <c r="P293">
        <v>2014</v>
      </c>
    </row>
    <row r="294" spans="1:16" x14ac:dyDescent="0.2">
      <c r="A294" t="s">
        <v>43</v>
      </c>
      <c r="B294" t="s">
        <v>22</v>
      </c>
      <c r="C294" t="s">
        <v>29</v>
      </c>
      <c r="D294" t="s">
        <v>19</v>
      </c>
      <c r="E294">
        <v>2072</v>
      </c>
      <c r="F294">
        <v>260</v>
      </c>
      <c r="G294">
        <v>15</v>
      </c>
      <c r="H294">
        <v>31080</v>
      </c>
      <c r="I294">
        <v>3108</v>
      </c>
      <c r="J294">
        <v>27972</v>
      </c>
      <c r="K294">
        <v>20720</v>
      </c>
      <c r="L294">
        <v>7252</v>
      </c>
      <c r="M294" s="2">
        <v>41974</v>
      </c>
      <c r="N294">
        <v>12</v>
      </c>
      <c r="O294" t="s">
        <v>27</v>
      </c>
      <c r="P294">
        <v>2014</v>
      </c>
    </row>
    <row r="295" spans="1:16" x14ac:dyDescent="0.2">
      <c r="A295" t="s">
        <v>44</v>
      </c>
      <c r="B295" t="s">
        <v>22</v>
      </c>
      <c r="C295" t="s">
        <v>18</v>
      </c>
      <c r="D295" t="s">
        <v>19</v>
      </c>
      <c r="E295">
        <v>1198</v>
      </c>
      <c r="F295">
        <v>3</v>
      </c>
      <c r="G295">
        <v>12</v>
      </c>
      <c r="H295">
        <v>14376</v>
      </c>
      <c r="I295">
        <v>1581.36</v>
      </c>
      <c r="J295">
        <v>12794.64</v>
      </c>
      <c r="K295">
        <v>3594</v>
      </c>
      <c r="L295">
        <v>9200.64</v>
      </c>
      <c r="M295" s="2">
        <v>41548</v>
      </c>
      <c r="N295">
        <v>10</v>
      </c>
      <c r="O295" t="s">
        <v>33</v>
      </c>
      <c r="P295">
        <v>2013</v>
      </c>
    </row>
    <row r="296" spans="1:16" x14ac:dyDescent="0.2">
      <c r="A296" t="s">
        <v>43</v>
      </c>
      <c r="B296" t="s">
        <v>17</v>
      </c>
      <c r="C296" t="s">
        <v>34</v>
      </c>
      <c r="D296" t="s">
        <v>19</v>
      </c>
      <c r="E296">
        <v>384</v>
      </c>
      <c r="F296">
        <v>120</v>
      </c>
      <c r="G296">
        <v>15</v>
      </c>
      <c r="H296">
        <v>5760</v>
      </c>
      <c r="I296">
        <v>633.6</v>
      </c>
      <c r="J296">
        <v>5126.3999999999996</v>
      </c>
      <c r="K296">
        <v>3840</v>
      </c>
      <c r="L296">
        <v>1286.4000000000001</v>
      </c>
      <c r="M296" s="2">
        <v>41640</v>
      </c>
      <c r="N296">
        <v>1</v>
      </c>
      <c r="O296" t="s">
        <v>20</v>
      </c>
      <c r="P296">
        <v>2014</v>
      </c>
    </row>
    <row r="297" spans="1:16" x14ac:dyDescent="0.2">
      <c r="A297" t="s">
        <v>44</v>
      </c>
      <c r="B297" t="s">
        <v>21</v>
      </c>
      <c r="C297" t="s">
        <v>34</v>
      </c>
      <c r="D297" t="s">
        <v>19</v>
      </c>
      <c r="E297">
        <v>472</v>
      </c>
      <c r="F297">
        <v>120</v>
      </c>
      <c r="G297">
        <v>12</v>
      </c>
      <c r="H297">
        <v>5664</v>
      </c>
      <c r="I297">
        <v>623.04</v>
      </c>
      <c r="J297">
        <v>5040.96</v>
      </c>
      <c r="K297">
        <v>1416</v>
      </c>
      <c r="L297">
        <v>3624.96</v>
      </c>
      <c r="M297" s="2">
        <v>41913</v>
      </c>
      <c r="N297">
        <v>10</v>
      </c>
      <c r="O297" t="s">
        <v>33</v>
      </c>
      <c r="P297">
        <v>2014</v>
      </c>
    </row>
    <row r="298" spans="1:16" x14ac:dyDescent="0.2">
      <c r="A298" t="s">
        <v>44</v>
      </c>
      <c r="B298" t="s">
        <v>35</v>
      </c>
      <c r="C298" t="s">
        <v>28</v>
      </c>
      <c r="D298" t="s">
        <v>19</v>
      </c>
      <c r="E298">
        <v>1005</v>
      </c>
      <c r="F298">
        <v>250</v>
      </c>
      <c r="G298">
        <v>12</v>
      </c>
      <c r="H298">
        <v>12060</v>
      </c>
      <c r="I298">
        <v>1326.6</v>
      </c>
      <c r="J298">
        <v>10733.4</v>
      </c>
      <c r="K298">
        <v>3015</v>
      </c>
      <c r="L298">
        <v>7718.4</v>
      </c>
      <c r="M298" s="2">
        <v>41518</v>
      </c>
      <c r="N298">
        <v>9</v>
      </c>
      <c r="O298" t="s">
        <v>39</v>
      </c>
      <c r="P298">
        <v>2013</v>
      </c>
    </row>
    <row r="299" spans="1:16" x14ac:dyDescent="0.2">
      <c r="A299" t="s">
        <v>43</v>
      </c>
      <c r="B299" t="s">
        <v>32</v>
      </c>
      <c r="C299" t="s">
        <v>29</v>
      </c>
      <c r="D299" t="s">
        <v>19</v>
      </c>
      <c r="E299">
        <v>3199.5</v>
      </c>
      <c r="F299">
        <v>260</v>
      </c>
      <c r="G299">
        <v>15</v>
      </c>
      <c r="H299">
        <v>47992.5</v>
      </c>
      <c r="I299">
        <v>5279.1750000000002</v>
      </c>
      <c r="J299">
        <v>42713.324999999997</v>
      </c>
      <c r="K299">
        <v>31995</v>
      </c>
      <c r="L299">
        <v>10718.325000000001</v>
      </c>
      <c r="M299" s="2">
        <v>41821</v>
      </c>
      <c r="N299">
        <v>7</v>
      </c>
      <c r="O299" t="s">
        <v>31</v>
      </c>
      <c r="P299">
        <v>2014</v>
      </c>
    </row>
    <row r="300" spans="1:16" x14ac:dyDescent="0.2">
      <c r="A300" t="s">
        <v>44</v>
      </c>
      <c r="B300" t="s">
        <v>21</v>
      </c>
      <c r="C300" t="s">
        <v>29</v>
      </c>
      <c r="D300" t="s">
        <v>19</v>
      </c>
      <c r="E300">
        <v>472</v>
      </c>
      <c r="F300">
        <v>260</v>
      </c>
      <c r="G300">
        <v>12</v>
      </c>
      <c r="H300">
        <v>5664</v>
      </c>
      <c r="I300">
        <v>623.04</v>
      </c>
      <c r="J300">
        <v>5040.96</v>
      </c>
      <c r="K300">
        <v>1416</v>
      </c>
      <c r="L300">
        <v>3624.96</v>
      </c>
      <c r="M300" s="2">
        <v>41913</v>
      </c>
      <c r="N300">
        <v>10</v>
      </c>
      <c r="O300" t="s">
        <v>33</v>
      </c>
      <c r="P300">
        <v>2014</v>
      </c>
    </row>
    <row r="301" spans="1:16" x14ac:dyDescent="0.2">
      <c r="A301" t="s">
        <v>44</v>
      </c>
      <c r="B301" t="s">
        <v>17</v>
      </c>
      <c r="C301" t="s">
        <v>18</v>
      </c>
      <c r="D301" t="s">
        <v>19</v>
      </c>
      <c r="E301">
        <v>1937</v>
      </c>
      <c r="F301">
        <v>3</v>
      </c>
      <c r="G301">
        <v>12</v>
      </c>
      <c r="H301">
        <v>23244</v>
      </c>
      <c r="I301">
        <v>2556.84</v>
      </c>
      <c r="J301">
        <v>20687.16</v>
      </c>
      <c r="K301">
        <v>5811</v>
      </c>
      <c r="L301">
        <v>14876.16</v>
      </c>
      <c r="M301" s="2">
        <v>41671</v>
      </c>
      <c r="N301">
        <v>2</v>
      </c>
      <c r="O301" t="s">
        <v>26</v>
      </c>
      <c r="P301">
        <v>2014</v>
      </c>
    </row>
    <row r="302" spans="1:16" x14ac:dyDescent="0.2">
      <c r="A302" t="s">
        <v>43</v>
      </c>
      <c r="B302" t="s">
        <v>17</v>
      </c>
      <c r="C302" t="s">
        <v>18</v>
      </c>
      <c r="D302" t="s">
        <v>19</v>
      </c>
      <c r="E302">
        <v>1560</v>
      </c>
      <c r="F302">
        <v>3</v>
      </c>
      <c r="G302">
        <v>15</v>
      </c>
      <c r="H302">
        <v>23400</v>
      </c>
      <c r="I302">
        <v>2574</v>
      </c>
      <c r="J302">
        <v>20826</v>
      </c>
      <c r="K302">
        <v>15600</v>
      </c>
      <c r="L302">
        <v>5226</v>
      </c>
      <c r="M302" s="2">
        <v>41579</v>
      </c>
      <c r="N302">
        <v>11</v>
      </c>
      <c r="O302" t="s">
        <v>36</v>
      </c>
      <c r="P302">
        <v>2013</v>
      </c>
    </row>
    <row r="303" spans="1:16" x14ac:dyDescent="0.2">
      <c r="A303" t="s">
        <v>43</v>
      </c>
      <c r="B303" t="s">
        <v>35</v>
      </c>
      <c r="C303" t="s">
        <v>23</v>
      </c>
      <c r="D303" t="s">
        <v>19</v>
      </c>
      <c r="E303">
        <v>2157</v>
      </c>
      <c r="F303">
        <v>5</v>
      </c>
      <c r="G303">
        <v>15</v>
      </c>
      <c r="H303">
        <v>32355</v>
      </c>
      <c r="I303">
        <v>3559.05</v>
      </c>
      <c r="J303">
        <v>28795.95</v>
      </c>
      <c r="K303">
        <v>21570</v>
      </c>
      <c r="L303">
        <v>7225.95</v>
      </c>
      <c r="M303" s="2">
        <v>41974</v>
      </c>
      <c r="N303">
        <v>12</v>
      </c>
      <c r="O303" t="s">
        <v>27</v>
      </c>
      <c r="P303">
        <v>2014</v>
      </c>
    </row>
    <row r="304" spans="1:16" x14ac:dyDescent="0.2">
      <c r="A304" t="s">
        <v>43</v>
      </c>
      <c r="B304" t="s">
        <v>35</v>
      </c>
      <c r="C304" t="s">
        <v>34</v>
      </c>
      <c r="D304" t="s">
        <v>19</v>
      </c>
      <c r="E304">
        <v>655</v>
      </c>
      <c r="F304">
        <v>120</v>
      </c>
      <c r="G304">
        <v>15</v>
      </c>
      <c r="H304">
        <v>9825</v>
      </c>
      <c r="I304">
        <v>1080.75</v>
      </c>
      <c r="J304">
        <v>8744.25</v>
      </c>
      <c r="K304">
        <v>6550</v>
      </c>
      <c r="L304">
        <v>2194.25</v>
      </c>
      <c r="M304" s="2">
        <v>41518</v>
      </c>
      <c r="N304">
        <v>9</v>
      </c>
      <c r="O304" t="s">
        <v>39</v>
      </c>
      <c r="P304">
        <v>2013</v>
      </c>
    </row>
    <row r="305" spans="1:16" x14ac:dyDescent="0.2">
      <c r="A305" t="s">
        <v>44</v>
      </c>
      <c r="B305" t="s">
        <v>22</v>
      </c>
      <c r="C305" t="s">
        <v>28</v>
      </c>
      <c r="D305" t="s">
        <v>19</v>
      </c>
      <c r="E305">
        <v>1734</v>
      </c>
      <c r="F305">
        <v>250</v>
      </c>
      <c r="G305">
        <v>12</v>
      </c>
      <c r="H305">
        <v>20808</v>
      </c>
      <c r="I305">
        <v>2288.88</v>
      </c>
      <c r="J305">
        <v>18519.12</v>
      </c>
      <c r="K305">
        <v>5202</v>
      </c>
      <c r="L305">
        <v>13317.12</v>
      </c>
      <c r="M305" s="2">
        <v>41640</v>
      </c>
      <c r="N305">
        <v>1</v>
      </c>
      <c r="O305" t="s">
        <v>20</v>
      </c>
      <c r="P305">
        <v>2014</v>
      </c>
    </row>
    <row r="306" spans="1:16" x14ac:dyDescent="0.2">
      <c r="A306" t="s">
        <v>43</v>
      </c>
      <c r="B306" t="s">
        <v>35</v>
      </c>
      <c r="C306" t="s">
        <v>29</v>
      </c>
      <c r="D306" t="s">
        <v>19</v>
      </c>
      <c r="E306">
        <v>2157</v>
      </c>
      <c r="F306">
        <v>260</v>
      </c>
      <c r="G306">
        <v>15</v>
      </c>
      <c r="H306">
        <v>32355</v>
      </c>
      <c r="I306">
        <v>3559.05</v>
      </c>
      <c r="J306">
        <v>28795.95</v>
      </c>
      <c r="K306">
        <v>21570</v>
      </c>
      <c r="L306">
        <v>7225.95</v>
      </c>
      <c r="M306" s="2">
        <v>41974</v>
      </c>
      <c r="N306">
        <v>12</v>
      </c>
      <c r="O306" t="s">
        <v>27</v>
      </c>
      <c r="P306">
        <v>2014</v>
      </c>
    </row>
    <row r="307" spans="1:16" x14ac:dyDescent="0.2">
      <c r="A307" t="s">
        <v>43</v>
      </c>
      <c r="B307" t="s">
        <v>17</v>
      </c>
      <c r="C307" t="s">
        <v>18</v>
      </c>
      <c r="D307" t="s">
        <v>19</v>
      </c>
      <c r="E307">
        <v>2689</v>
      </c>
      <c r="F307">
        <v>3</v>
      </c>
      <c r="G307">
        <v>15</v>
      </c>
      <c r="H307">
        <v>40335</v>
      </c>
      <c r="I307">
        <v>4840.2</v>
      </c>
      <c r="J307">
        <v>35494.800000000003</v>
      </c>
      <c r="K307">
        <v>26890</v>
      </c>
      <c r="L307">
        <v>8604.7999999999993</v>
      </c>
      <c r="M307" s="2">
        <v>41944</v>
      </c>
      <c r="N307">
        <v>11</v>
      </c>
      <c r="O307" t="s">
        <v>36</v>
      </c>
      <c r="P307">
        <v>2014</v>
      </c>
    </row>
    <row r="308" spans="1:16" x14ac:dyDescent="0.2">
      <c r="A308" t="s">
        <v>43</v>
      </c>
      <c r="B308" t="s">
        <v>32</v>
      </c>
      <c r="C308" t="s">
        <v>23</v>
      </c>
      <c r="D308" t="s">
        <v>19</v>
      </c>
      <c r="E308">
        <v>677</v>
      </c>
      <c r="F308">
        <v>5</v>
      </c>
      <c r="G308">
        <v>15</v>
      </c>
      <c r="H308">
        <v>10155</v>
      </c>
      <c r="I308">
        <v>1218.5999999999999</v>
      </c>
      <c r="J308">
        <v>8936.4</v>
      </c>
      <c r="K308">
        <v>6770</v>
      </c>
      <c r="L308">
        <v>2166.4</v>
      </c>
      <c r="M308" s="2">
        <v>41699</v>
      </c>
      <c r="N308">
        <v>3</v>
      </c>
      <c r="O308" t="s">
        <v>42</v>
      </c>
      <c r="P308">
        <v>2014</v>
      </c>
    </row>
    <row r="309" spans="1:16" x14ac:dyDescent="0.2">
      <c r="A309" t="s">
        <v>44</v>
      </c>
      <c r="B309" t="s">
        <v>17</v>
      </c>
      <c r="C309" t="s">
        <v>28</v>
      </c>
      <c r="D309" t="s">
        <v>19</v>
      </c>
      <c r="E309">
        <v>2109</v>
      </c>
      <c r="F309">
        <v>250</v>
      </c>
      <c r="G309">
        <v>12</v>
      </c>
      <c r="H309">
        <v>25308</v>
      </c>
      <c r="I309">
        <v>3036.96</v>
      </c>
      <c r="J309">
        <v>22271.040000000001</v>
      </c>
      <c r="K309">
        <v>6327</v>
      </c>
      <c r="L309">
        <v>15944.04</v>
      </c>
      <c r="M309" s="2">
        <v>41760</v>
      </c>
      <c r="N309">
        <v>5</v>
      </c>
      <c r="O309" t="s">
        <v>38</v>
      </c>
      <c r="P309">
        <v>2014</v>
      </c>
    </row>
    <row r="310" spans="1:16" x14ac:dyDescent="0.2">
      <c r="A310" t="s">
        <v>43</v>
      </c>
      <c r="B310" t="s">
        <v>22</v>
      </c>
      <c r="C310" t="s">
        <v>28</v>
      </c>
      <c r="D310" t="s">
        <v>19</v>
      </c>
      <c r="E310">
        <v>3874.5</v>
      </c>
      <c r="F310">
        <v>250</v>
      </c>
      <c r="G310">
        <v>15</v>
      </c>
      <c r="H310">
        <v>58117.5</v>
      </c>
      <c r="I310">
        <v>6974.1</v>
      </c>
      <c r="J310">
        <v>51143.4</v>
      </c>
      <c r="K310">
        <v>38745</v>
      </c>
      <c r="L310">
        <v>12398.4</v>
      </c>
      <c r="M310" s="2">
        <v>41821</v>
      </c>
      <c r="N310">
        <v>7</v>
      </c>
      <c r="O310" t="s">
        <v>31</v>
      </c>
      <c r="P310">
        <v>2014</v>
      </c>
    </row>
    <row r="311" spans="1:16" x14ac:dyDescent="0.2">
      <c r="A311" t="s">
        <v>43</v>
      </c>
      <c r="B311" t="s">
        <v>32</v>
      </c>
      <c r="C311" t="s">
        <v>29</v>
      </c>
      <c r="D311" t="s">
        <v>19</v>
      </c>
      <c r="E311">
        <v>2548</v>
      </c>
      <c r="F311">
        <v>260</v>
      </c>
      <c r="G311">
        <v>15</v>
      </c>
      <c r="H311">
        <v>38220</v>
      </c>
      <c r="I311">
        <v>4586.3999999999996</v>
      </c>
      <c r="J311">
        <v>33633.599999999999</v>
      </c>
      <c r="K311">
        <v>25480</v>
      </c>
      <c r="L311">
        <v>8153.6</v>
      </c>
      <c r="M311" s="2">
        <v>41579</v>
      </c>
      <c r="N311">
        <v>11</v>
      </c>
      <c r="O311" t="s">
        <v>36</v>
      </c>
      <c r="P311">
        <v>2013</v>
      </c>
    </row>
    <row r="312" spans="1:16" x14ac:dyDescent="0.2">
      <c r="A312" t="s">
        <v>44</v>
      </c>
      <c r="B312" t="s">
        <v>35</v>
      </c>
      <c r="C312" t="s">
        <v>23</v>
      </c>
      <c r="D312" t="s">
        <v>19</v>
      </c>
      <c r="E312">
        <v>2661</v>
      </c>
      <c r="F312">
        <v>5</v>
      </c>
      <c r="G312">
        <v>12</v>
      </c>
      <c r="H312">
        <v>31932</v>
      </c>
      <c r="I312">
        <v>3831.84</v>
      </c>
      <c r="J312">
        <v>28100.16</v>
      </c>
      <c r="K312">
        <v>7983</v>
      </c>
      <c r="L312">
        <v>20117.16</v>
      </c>
      <c r="M312" s="2">
        <v>41760</v>
      </c>
      <c r="N312">
        <v>5</v>
      </c>
      <c r="O312" t="s">
        <v>38</v>
      </c>
      <c r="P312">
        <v>2014</v>
      </c>
    </row>
    <row r="313" spans="1:16" x14ac:dyDescent="0.2">
      <c r="A313" t="s">
        <v>44</v>
      </c>
      <c r="B313" t="s">
        <v>17</v>
      </c>
      <c r="C313" t="s">
        <v>29</v>
      </c>
      <c r="D313" t="s">
        <v>19</v>
      </c>
      <c r="E313">
        <v>2761</v>
      </c>
      <c r="F313">
        <v>260</v>
      </c>
      <c r="G313">
        <v>12</v>
      </c>
      <c r="H313">
        <v>33132</v>
      </c>
      <c r="I313">
        <v>3975.84</v>
      </c>
      <c r="J313">
        <v>29156.16</v>
      </c>
      <c r="K313">
        <v>8283</v>
      </c>
      <c r="L313">
        <v>20873.16</v>
      </c>
      <c r="M313" s="2">
        <v>41518</v>
      </c>
      <c r="N313">
        <v>9</v>
      </c>
      <c r="O313" t="s">
        <v>39</v>
      </c>
      <c r="P313">
        <v>2013</v>
      </c>
    </row>
    <row r="314" spans="1:16" x14ac:dyDescent="0.2">
      <c r="A314" t="s">
        <v>43</v>
      </c>
      <c r="B314" t="s">
        <v>32</v>
      </c>
      <c r="C314" t="s">
        <v>18</v>
      </c>
      <c r="D314" t="s">
        <v>19</v>
      </c>
      <c r="E314">
        <v>2567</v>
      </c>
      <c r="F314">
        <v>3</v>
      </c>
      <c r="G314">
        <v>15</v>
      </c>
      <c r="H314">
        <v>38505</v>
      </c>
      <c r="I314">
        <v>5005.6499999999996</v>
      </c>
      <c r="J314">
        <v>33499.35</v>
      </c>
      <c r="K314">
        <v>25670</v>
      </c>
      <c r="L314">
        <v>7829.35</v>
      </c>
      <c r="M314" s="2">
        <v>41791</v>
      </c>
      <c r="N314">
        <v>6</v>
      </c>
      <c r="O314" t="s">
        <v>24</v>
      </c>
      <c r="P314">
        <v>2014</v>
      </c>
    </row>
    <row r="315" spans="1:16" x14ac:dyDescent="0.2">
      <c r="A315" t="s">
        <v>43</v>
      </c>
      <c r="B315" t="s">
        <v>32</v>
      </c>
      <c r="C315" t="s">
        <v>28</v>
      </c>
      <c r="D315" t="s">
        <v>19</v>
      </c>
      <c r="E315">
        <v>2567</v>
      </c>
      <c r="F315">
        <v>250</v>
      </c>
      <c r="G315">
        <v>15</v>
      </c>
      <c r="H315">
        <v>38505</v>
      </c>
      <c r="I315">
        <v>5005.6499999999996</v>
      </c>
      <c r="J315">
        <v>33499.35</v>
      </c>
      <c r="K315">
        <v>25670</v>
      </c>
      <c r="L315">
        <v>7829.35</v>
      </c>
      <c r="M315" s="2">
        <v>41791</v>
      </c>
      <c r="N315">
        <v>6</v>
      </c>
      <c r="O315" t="s">
        <v>24</v>
      </c>
      <c r="P315">
        <v>2014</v>
      </c>
    </row>
    <row r="316" spans="1:16" x14ac:dyDescent="0.2">
      <c r="A316" t="s">
        <v>44</v>
      </c>
      <c r="B316" t="s">
        <v>35</v>
      </c>
      <c r="C316" t="s">
        <v>23</v>
      </c>
      <c r="D316" t="s">
        <v>19</v>
      </c>
      <c r="E316">
        <v>604</v>
      </c>
      <c r="F316">
        <v>5</v>
      </c>
      <c r="G316">
        <v>12</v>
      </c>
      <c r="H316">
        <v>7248</v>
      </c>
      <c r="I316">
        <v>942.24</v>
      </c>
      <c r="J316">
        <v>6305.76</v>
      </c>
      <c r="K316">
        <v>1812</v>
      </c>
      <c r="L316">
        <v>4493.76</v>
      </c>
      <c r="M316" s="2">
        <v>41791</v>
      </c>
      <c r="N316">
        <v>6</v>
      </c>
      <c r="O316" t="s">
        <v>24</v>
      </c>
      <c r="P316">
        <v>2014</v>
      </c>
    </row>
    <row r="317" spans="1:16" x14ac:dyDescent="0.2">
      <c r="A317" t="s">
        <v>43</v>
      </c>
      <c r="B317" t="s">
        <v>22</v>
      </c>
      <c r="C317" t="s">
        <v>34</v>
      </c>
      <c r="D317" t="s">
        <v>19</v>
      </c>
      <c r="E317">
        <v>3997.5</v>
      </c>
      <c r="F317">
        <v>120</v>
      </c>
      <c r="G317">
        <v>15</v>
      </c>
      <c r="H317">
        <v>59962.5</v>
      </c>
      <c r="I317">
        <v>7795.125</v>
      </c>
      <c r="J317">
        <v>52167.375</v>
      </c>
      <c r="K317">
        <v>39975</v>
      </c>
      <c r="L317">
        <v>12192.375</v>
      </c>
      <c r="M317" s="2">
        <v>41640</v>
      </c>
      <c r="N317">
        <v>1</v>
      </c>
      <c r="O317" t="s">
        <v>20</v>
      </c>
      <c r="P317">
        <v>2014</v>
      </c>
    </row>
    <row r="318" spans="1:16" x14ac:dyDescent="0.2">
      <c r="A318" t="s">
        <v>44</v>
      </c>
      <c r="B318" t="s">
        <v>35</v>
      </c>
      <c r="C318" t="s">
        <v>34</v>
      </c>
      <c r="D318" t="s">
        <v>19</v>
      </c>
      <c r="E318">
        <v>604</v>
      </c>
      <c r="F318">
        <v>120</v>
      </c>
      <c r="G318">
        <v>12</v>
      </c>
      <c r="H318">
        <v>7248</v>
      </c>
      <c r="I318">
        <v>942.24</v>
      </c>
      <c r="J318">
        <v>6305.76</v>
      </c>
      <c r="K318">
        <v>1812</v>
      </c>
      <c r="L318">
        <v>4493.76</v>
      </c>
      <c r="M318" s="2">
        <v>41791</v>
      </c>
      <c r="N318">
        <v>6</v>
      </c>
      <c r="O318" t="s">
        <v>24</v>
      </c>
      <c r="P318">
        <v>2014</v>
      </c>
    </row>
    <row r="319" spans="1:16" x14ac:dyDescent="0.2">
      <c r="A319" t="s">
        <v>43</v>
      </c>
      <c r="B319" t="s">
        <v>21</v>
      </c>
      <c r="C319" t="s">
        <v>34</v>
      </c>
      <c r="D319" t="s">
        <v>19</v>
      </c>
      <c r="E319">
        <v>660</v>
      </c>
      <c r="F319">
        <v>120</v>
      </c>
      <c r="G319">
        <v>15</v>
      </c>
      <c r="H319">
        <v>9900</v>
      </c>
      <c r="I319">
        <v>1287</v>
      </c>
      <c r="J319">
        <v>8613</v>
      </c>
      <c r="K319">
        <v>6600</v>
      </c>
      <c r="L319">
        <v>2013</v>
      </c>
      <c r="M319" s="2">
        <v>41518</v>
      </c>
      <c r="N319">
        <v>9</v>
      </c>
      <c r="O319" t="s">
        <v>39</v>
      </c>
      <c r="P319">
        <v>2013</v>
      </c>
    </row>
    <row r="320" spans="1:16" x14ac:dyDescent="0.2">
      <c r="A320" t="s">
        <v>44</v>
      </c>
      <c r="B320" t="s">
        <v>35</v>
      </c>
      <c r="C320" t="s">
        <v>34</v>
      </c>
      <c r="D320" t="s">
        <v>19</v>
      </c>
      <c r="E320">
        <v>410</v>
      </c>
      <c r="F320">
        <v>120</v>
      </c>
      <c r="G320">
        <v>12</v>
      </c>
      <c r="H320">
        <v>4920</v>
      </c>
      <c r="I320">
        <v>639.6</v>
      </c>
      <c r="J320">
        <v>4280.3999999999996</v>
      </c>
      <c r="K320">
        <v>1230</v>
      </c>
      <c r="L320">
        <v>3050.4</v>
      </c>
      <c r="M320" s="2">
        <v>41913</v>
      </c>
      <c r="N320">
        <v>10</v>
      </c>
      <c r="O320" t="s">
        <v>33</v>
      </c>
      <c r="P320">
        <v>2014</v>
      </c>
    </row>
    <row r="321" spans="1:16" x14ac:dyDescent="0.2">
      <c r="A321" t="s">
        <v>44</v>
      </c>
      <c r="B321" t="s">
        <v>21</v>
      </c>
      <c r="C321" t="s">
        <v>34</v>
      </c>
      <c r="D321" t="s">
        <v>19</v>
      </c>
      <c r="E321">
        <v>1013</v>
      </c>
      <c r="F321">
        <v>120</v>
      </c>
      <c r="G321">
        <v>12</v>
      </c>
      <c r="H321">
        <v>12156</v>
      </c>
      <c r="I321">
        <v>1580.28</v>
      </c>
      <c r="J321">
        <v>10575.72</v>
      </c>
      <c r="K321">
        <v>3039</v>
      </c>
      <c r="L321">
        <v>7536.72</v>
      </c>
      <c r="M321" s="2">
        <v>41974</v>
      </c>
      <c r="N321">
        <v>12</v>
      </c>
      <c r="O321" t="s">
        <v>27</v>
      </c>
      <c r="P321">
        <v>2014</v>
      </c>
    </row>
    <row r="322" spans="1:16" x14ac:dyDescent="0.2">
      <c r="A322" t="s">
        <v>43</v>
      </c>
      <c r="B322" t="s">
        <v>17</v>
      </c>
      <c r="C322" t="s">
        <v>28</v>
      </c>
      <c r="D322" t="s">
        <v>19</v>
      </c>
      <c r="E322">
        <v>1565</v>
      </c>
      <c r="F322">
        <v>250</v>
      </c>
      <c r="G322">
        <v>15</v>
      </c>
      <c r="H322">
        <v>23475</v>
      </c>
      <c r="I322">
        <v>3051.75</v>
      </c>
      <c r="J322">
        <v>20423.25</v>
      </c>
      <c r="K322">
        <v>15650</v>
      </c>
      <c r="L322">
        <v>4773.25</v>
      </c>
      <c r="M322" s="2">
        <v>41913</v>
      </c>
      <c r="N322">
        <v>10</v>
      </c>
      <c r="O322" t="s">
        <v>33</v>
      </c>
      <c r="P322">
        <v>2014</v>
      </c>
    </row>
    <row r="323" spans="1:16" x14ac:dyDescent="0.2">
      <c r="A323" t="s">
        <v>44</v>
      </c>
      <c r="B323" t="s">
        <v>35</v>
      </c>
      <c r="C323" t="s">
        <v>29</v>
      </c>
      <c r="D323" t="s">
        <v>19</v>
      </c>
      <c r="E323">
        <v>410</v>
      </c>
      <c r="F323">
        <v>260</v>
      </c>
      <c r="G323">
        <v>12</v>
      </c>
      <c r="H323">
        <v>4920</v>
      </c>
      <c r="I323">
        <v>639.6</v>
      </c>
      <c r="J323">
        <v>4280.3999999999996</v>
      </c>
      <c r="K323">
        <v>1230</v>
      </c>
      <c r="L323">
        <v>3050.4</v>
      </c>
      <c r="M323" s="2">
        <v>41913</v>
      </c>
      <c r="N323">
        <v>10</v>
      </c>
      <c r="O323" t="s">
        <v>33</v>
      </c>
      <c r="P323">
        <v>2014</v>
      </c>
    </row>
    <row r="324" spans="1:16" x14ac:dyDescent="0.2">
      <c r="A324" t="s">
        <v>44</v>
      </c>
      <c r="B324" t="s">
        <v>21</v>
      </c>
      <c r="C324" t="s">
        <v>29</v>
      </c>
      <c r="D324" t="s">
        <v>19</v>
      </c>
      <c r="E324">
        <v>1770</v>
      </c>
      <c r="F324">
        <v>260</v>
      </c>
      <c r="G324">
        <v>12</v>
      </c>
      <c r="H324">
        <v>21240</v>
      </c>
      <c r="I324">
        <v>2761.2</v>
      </c>
      <c r="J324">
        <v>18478.8</v>
      </c>
      <c r="K324">
        <v>5310</v>
      </c>
      <c r="L324">
        <v>13168.8</v>
      </c>
      <c r="M324" s="2">
        <v>41609</v>
      </c>
      <c r="N324">
        <v>12</v>
      </c>
      <c r="O324" t="s">
        <v>27</v>
      </c>
      <c r="P324">
        <v>2013</v>
      </c>
    </row>
    <row r="325" spans="1:16" x14ac:dyDescent="0.2">
      <c r="A325" t="s">
        <v>44</v>
      </c>
      <c r="B325" t="s">
        <v>22</v>
      </c>
      <c r="C325" t="s">
        <v>29</v>
      </c>
      <c r="D325" t="s">
        <v>19</v>
      </c>
      <c r="E325">
        <v>1393</v>
      </c>
      <c r="F325">
        <v>260</v>
      </c>
      <c r="G325">
        <v>12</v>
      </c>
      <c r="H325">
        <v>16716</v>
      </c>
      <c r="I325">
        <v>2340.2399999999998</v>
      </c>
      <c r="J325">
        <v>14375.76</v>
      </c>
      <c r="K325">
        <v>4179</v>
      </c>
      <c r="L325">
        <v>10196.76</v>
      </c>
      <c r="M325" s="2">
        <v>41913</v>
      </c>
      <c r="N325">
        <v>10</v>
      </c>
      <c r="O325" t="s">
        <v>33</v>
      </c>
      <c r="P325">
        <v>2014</v>
      </c>
    </row>
    <row r="326" spans="1:16" x14ac:dyDescent="0.2">
      <c r="A326" t="s">
        <v>44</v>
      </c>
      <c r="B326" t="s">
        <v>32</v>
      </c>
      <c r="C326" t="s">
        <v>29</v>
      </c>
      <c r="D326" t="s">
        <v>19</v>
      </c>
      <c r="E326">
        <v>2015</v>
      </c>
      <c r="F326">
        <v>260</v>
      </c>
      <c r="G326">
        <v>12</v>
      </c>
      <c r="H326">
        <v>24180</v>
      </c>
      <c r="I326">
        <v>3385.2</v>
      </c>
      <c r="J326">
        <v>20794.8</v>
      </c>
      <c r="K326">
        <v>6045</v>
      </c>
      <c r="L326">
        <v>14749.8</v>
      </c>
      <c r="M326" s="2">
        <v>41609</v>
      </c>
      <c r="N326">
        <v>12</v>
      </c>
      <c r="O326" t="s">
        <v>27</v>
      </c>
      <c r="P326">
        <v>2013</v>
      </c>
    </row>
    <row r="327" spans="1:16" x14ac:dyDescent="0.2">
      <c r="A327" t="s">
        <v>43</v>
      </c>
      <c r="B327" t="s">
        <v>21</v>
      </c>
      <c r="C327" t="s">
        <v>18</v>
      </c>
      <c r="D327" t="s">
        <v>19</v>
      </c>
      <c r="E327">
        <v>1513</v>
      </c>
      <c r="F327">
        <v>3</v>
      </c>
      <c r="G327">
        <v>15</v>
      </c>
      <c r="H327">
        <v>22695</v>
      </c>
      <c r="I327">
        <v>3177.3</v>
      </c>
      <c r="J327">
        <v>19517.7</v>
      </c>
      <c r="K327">
        <v>15130</v>
      </c>
      <c r="L327">
        <v>4387.7</v>
      </c>
      <c r="M327" s="2">
        <v>41944</v>
      </c>
      <c r="N327">
        <v>11</v>
      </c>
      <c r="O327" t="s">
        <v>36</v>
      </c>
      <c r="P327">
        <v>2014</v>
      </c>
    </row>
    <row r="328" spans="1:16" x14ac:dyDescent="0.2">
      <c r="A328" t="s">
        <v>43</v>
      </c>
      <c r="B328" t="s">
        <v>17</v>
      </c>
      <c r="C328" t="s">
        <v>18</v>
      </c>
      <c r="D328" t="s">
        <v>19</v>
      </c>
      <c r="E328">
        <v>2300</v>
      </c>
      <c r="F328">
        <v>3</v>
      </c>
      <c r="G328">
        <v>15</v>
      </c>
      <c r="H328">
        <v>34500</v>
      </c>
      <c r="I328">
        <v>4830</v>
      </c>
      <c r="J328">
        <v>29670</v>
      </c>
      <c r="K328">
        <v>23000</v>
      </c>
      <c r="L328">
        <v>6670</v>
      </c>
      <c r="M328" s="2">
        <v>41974</v>
      </c>
      <c r="N328">
        <v>12</v>
      </c>
      <c r="O328" t="s">
        <v>27</v>
      </c>
      <c r="P328">
        <v>2014</v>
      </c>
    </row>
    <row r="329" spans="1:16" x14ac:dyDescent="0.2">
      <c r="A329" t="s">
        <v>43</v>
      </c>
      <c r="B329" t="s">
        <v>17</v>
      </c>
      <c r="C329" t="s">
        <v>23</v>
      </c>
      <c r="D329" t="s">
        <v>19</v>
      </c>
      <c r="E329">
        <v>2300</v>
      </c>
      <c r="F329">
        <v>5</v>
      </c>
      <c r="G329">
        <v>15</v>
      </c>
      <c r="H329">
        <v>34500</v>
      </c>
      <c r="I329">
        <v>4830</v>
      </c>
      <c r="J329">
        <v>29670</v>
      </c>
      <c r="K329">
        <v>23000</v>
      </c>
      <c r="L329">
        <v>6670</v>
      </c>
      <c r="M329" s="2">
        <v>41974</v>
      </c>
      <c r="N329">
        <v>12</v>
      </c>
      <c r="O329" t="s">
        <v>27</v>
      </c>
      <c r="P329">
        <v>2014</v>
      </c>
    </row>
    <row r="330" spans="1:16" x14ac:dyDescent="0.2">
      <c r="A330" t="s">
        <v>44</v>
      </c>
      <c r="B330" t="s">
        <v>22</v>
      </c>
      <c r="C330" t="s">
        <v>29</v>
      </c>
      <c r="D330" t="s">
        <v>19</v>
      </c>
      <c r="E330">
        <v>2475</v>
      </c>
      <c r="F330">
        <v>260</v>
      </c>
      <c r="G330">
        <v>12</v>
      </c>
      <c r="H330">
        <v>29700</v>
      </c>
      <c r="I330">
        <v>4158</v>
      </c>
      <c r="J330">
        <v>25542</v>
      </c>
      <c r="K330">
        <v>7425</v>
      </c>
      <c r="L330">
        <v>18117</v>
      </c>
      <c r="M330" s="2">
        <v>41852</v>
      </c>
      <c r="N330">
        <v>8</v>
      </c>
      <c r="O330" t="s">
        <v>41</v>
      </c>
      <c r="P330">
        <v>2014</v>
      </c>
    </row>
    <row r="331" spans="1:16" x14ac:dyDescent="0.2">
      <c r="A331" t="s">
        <v>43</v>
      </c>
      <c r="B331" t="s">
        <v>17</v>
      </c>
      <c r="C331" t="s">
        <v>29</v>
      </c>
      <c r="D331" t="s">
        <v>19</v>
      </c>
      <c r="E331">
        <v>1743</v>
      </c>
      <c r="F331">
        <v>260</v>
      </c>
      <c r="G331">
        <v>15</v>
      </c>
      <c r="H331">
        <v>26145</v>
      </c>
      <c r="I331">
        <v>3660.3</v>
      </c>
      <c r="J331">
        <v>22484.7</v>
      </c>
      <c r="K331">
        <v>17430</v>
      </c>
      <c r="L331">
        <v>5054.7</v>
      </c>
      <c r="M331" s="2">
        <v>41548</v>
      </c>
      <c r="N331">
        <v>10</v>
      </c>
      <c r="O331" t="s">
        <v>33</v>
      </c>
      <c r="P331">
        <v>2013</v>
      </c>
    </row>
    <row r="332" spans="1:16" x14ac:dyDescent="0.2">
      <c r="A332" t="s">
        <v>44</v>
      </c>
      <c r="B332" t="s">
        <v>32</v>
      </c>
      <c r="C332" t="s">
        <v>29</v>
      </c>
      <c r="D332" t="s">
        <v>19</v>
      </c>
      <c r="E332">
        <v>2914</v>
      </c>
      <c r="F332">
        <v>260</v>
      </c>
      <c r="G332">
        <v>12</v>
      </c>
      <c r="H332">
        <v>34968</v>
      </c>
      <c r="I332">
        <v>4895.5200000000004</v>
      </c>
      <c r="J332">
        <v>30072.48</v>
      </c>
      <c r="K332">
        <v>8742</v>
      </c>
      <c r="L332">
        <v>21330.48</v>
      </c>
      <c r="M332" s="2">
        <v>41913</v>
      </c>
      <c r="N332">
        <v>10</v>
      </c>
      <c r="O332" t="s">
        <v>33</v>
      </c>
      <c r="P332">
        <v>2014</v>
      </c>
    </row>
    <row r="333" spans="1:16" x14ac:dyDescent="0.2">
      <c r="A333" t="s">
        <v>43</v>
      </c>
      <c r="B333" t="s">
        <v>35</v>
      </c>
      <c r="C333" t="s">
        <v>29</v>
      </c>
      <c r="D333" t="s">
        <v>19</v>
      </c>
      <c r="E333">
        <v>1870</v>
      </c>
      <c r="F333">
        <v>260</v>
      </c>
      <c r="G333">
        <v>15</v>
      </c>
      <c r="H333">
        <v>28050</v>
      </c>
      <c r="I333">
        <v>3927</v>
      </c>
      <c r="J333">
        <v>24123</v>
      </c>
      <c r="K333">
        <v>18700</v>
      </c>
      <c r="L333">
        <v>5423</v>
      </c>
      <c r="M333" s="2">
        <v>41579</v>
      </c>
      <c r="N333">
        <v>11</v>
      </c>
      <c r="O333" t="s">
        <v>36</v>
      </c>
      <c r="P333">
        <v>2013</v>
      </c>
    </row>
    <row r="334" spans="1:16" x14ac:dyDescent="0.2">
      <c r="A334" t="s">
        <v>44</v>
      </c>
      <c r="B334" t="s">
        <v>35</v>
      </c>
      <c r="C334" t="s">
        <v>34</v>
      </c>
      <c r="D334" t="s">
        <v>19</v>
      </c>
      <c r="E334">
        <v>500</v>
      </c>
      <c r="F334">
        <v>120</v>
      </c>
      <c r="G334">
        <v>12</v>
      </c>
      <c r="H334">
        <v>6000</v>
      </c>
      <c r="I334">
        <v>900</v>
      </c>
      <c r="J334">
        <v>5100</v>
      </c>
      <c r="K334">
        <v>1500</v>
      </c>
      <c r="L334">
        <v>3600</v>
      </c>
      <c r="M334" s="2">
        <v>41699</v>
      </c>
      <c r="N334">
        <v>3</v>
      </c>
      <c r="O334" t="s">
        <v>42</v>
      </c>
      <c r="P334">
        <v>2014</v>
      </c>
    </row>
    <row r="335" spans="1:16" x14ac:dyDescent="0.2">
      <c r="A335" t="s">
        <v>43</v>
      </c>
      <c r="B335" t="s">
        <v>22</v>
      </c>
      <c r="C335" t="s">
        <v>34</v>
      </c>
      <c r="D335" t="s">
        <v>19</v>
      </c>
      <c r="E335">
        <v>2826</v>
      </c>
      <c r="F335">
        <v>120</v>
      </c>
      <c r="G335">
        <v>15</v>
      </c>
      <c r="H335">
        <v>42390</v>
      </c>
      <c r="I335">
        <v>6358.5</v>
      </c>
      <c r="J335">
        <v>36031.5</v>
      </c>
      <c r="K335">
        <v>28260</v>
      </c>
      <c r="L335">
        <v>7771.5</v>
      </c>
      <c r="M335" s="2">
        <v>41760</v>
      </c>
      <c r="N335">
        <v>5</v>
      </c>
      <c r="O335" t="s">
        <v>38</v>
      </c>
      <c r="P335">
        <v>2014</v>
      </c>
    </row>
    <row r="336" spans="1:16" x14ac:dyDescent="0.2">
      <c r="A336" t="s">
        <v>44</v>
      </c>
      <c r="B336" t="s">
        <v>32</v>
      </c>
      <c r="C336" t="s">
        <v>34</v>
      </c>
      <c r="D336" t="s">
        <v>19</v>
      </c>
      <c r="E336">
        <v>914</v>
      </c>
      <c r="F336">
        <v>120</v>
      </c>
      <c r="G336">
        <v>12</v>
      </c>
      <c r="H336">
        <v>10968</v>
      </c>
      <c r="I336">
        <v>1645.2</v>
      </c>
      <c r="J336">
        <v>9322.7999999999993</v>
      </c>
      <c r="K336">
        <v>2742</v>
      </c>
      <c r="L336">
        <v>6580.8</v>
      </c>
      <c r="M336" s="2">
        <v>41974</v>
      </c>
      <c r="N336">
        <v>12</v>
      </c>
      <c r="O336" t="s">
        <v>27</v>
      </c>
      <c r="P336">
        <v>2014</v>
      </c>
    </row>
    <row r="337" spans="1:16" x14ac:dyDescent="0.2">
      <c r="A337" t="s">
        <v>43</v>
      </c>
      <c r="B337" t="s">
        <v>21</v>
      </c>
      <c r="C337" t="s">
        <v>28</v>
      </c>
      <c r="D337" t="s">
        <v>19</v>
      </c>
      <c r="E337">
        <v>492</v>
      </c>
      <c r="F337">
        <v>250</v>
      </c>
      <c r="G337">
        <v>15</v>
      </c>
      <c r="H337">
        <v>7380</v>
      </c>
      <c r="I337">
        <v>1107</v>
      </c>
      <c r="J337">
        <v>6273</v>
      </c>
      <c r="K337">
        <v>4920</v>
      </c>
      <c r="L337">
        <v>1353</v>
      </c>
      <c r="M337" s="2">
        <v>41821</v>
      </c>
      <c r="N337">
        <v>7</v>
      </c>
      <c r="O337" t="s">
        <v>31</v>
      </c>
      <c r="P337">
        <v>2014</v>
      </c>
    </row>
    <row r="338" spans="1:16" x14ac:dyDescent="0.2">
      <c r="A338" t="s">
        <v>43</v>
      </c>
      <c r="B338" t="s">
        <v>21</v>
      </c>
      <c r="C338" t="s">
        <v>28</v>
      </c>
      <c r="D338" t="s">
        <v>19</v>
      </c>
      <c r="E338">
        <v>1175</v>
      </c>
      <c r="F338">
        <v>250</v>
      </c>
      <c r="G338">
        <v>15</v>
      </c>
      <c r="H338">
        <v>17625</v>
      </c>
      <c r="I338">
        <v>2643.75</v>
      </c>
      <c r="J338">
        <v>14981.25</v>
      </c>
      <c r="K338">
        <v>11750</v>
      </c>
      <c r="L338">
        <v>3231.25</v>
      </c>
      <c r="M338" s="2">
        <v>41913</v>
      </c>
      <c r="N338">
        <v>10</v>
      </c>
      <c r="O338" t="s">
        <v>33</v>
      </c>
      <c r="P338">
        <v>2014</v>
      </c>
    </row>
    <row r="339" spans="1:16" x14ac:dyDescent="0.2">
      <c r="A339" t="s">
        <v>44</v>
      </c>
      <c r="B339" t="s">
        <v>32</v>
      </c>
      <c r="C339" t="s">
        <v>28</v>
      </c>
      <c r="D339" t="s">
        <v>19</v>
      </c>
      <c r="E339">
        <v>1806</v>
      </c>
      <c r="F339">
        <v>250</v>
      </c>
      <c r="G339">
        <v>12</v>
      </c>
      <c r="H339">
        <v>21672</v>
      </c>
      <c r="I339">
        <v>3250.8</v>
      </c>
      <c r="J339">
        <v>18421.2</v>
      </c>
      <c r="K339">
        <v>5418</v>
      </c>
      <c r="L339">
        <v>13003.2</v>
      </c>
      <c r="M339" s="2">
        <v>41760</v>
      </c>
      <c r="N339">
        <v>5</v>
      </c>
      <c r="O339" t="s">
        <v>38</v>
      </c>
      <c r="P339">
        <v>2014</v>
      </c>
    </row>
    <row r="340" spans="1:16" x14ac:dyDescent="0.2">
      <c r="A340" t="s">
        <v>43</v>
      </c>
      <c r="B340" t="s">
        <v>35</v>
      </c>
      <c r="C340" t="s">
        <v>25</v>
      </c>
      <c r="D340" t="s">
        <v>19</v>
      </c>
      <c r="E340">
        <v>974</v>
      </c>
      <c r="F340">
        <v>10</v>
      </c>
      <c r="G340">
        <v>15</v>
      </c>
      <c r="H340">
        <v>14610</v>
      </c>
      <c r="I340">
        <v>0</v>
      </c>
      <c r="J340">
        <v>14610</v>
      </c>
      <c r="K340">
        <v>9740</v>
      </c>
      <c r="L340">
        <v>4870</v>
      </c>
      <c r="M340" s="2">
        <v>41671</v>
      </c>
      <c r="N340">
        <v>2</v>
      </c>
      <c r="O340" t="s">
        <v>26</v>
      </c>
      <c r="P340">
        <v>2014</v>
      </c>
    </row>
    <row r="341" spans="1:16" x14ac:dyDescent="0.2">
      <c r="A341" t="s">
        <v>44</v>
      </c>
      <c r="B341" t="s">
        <v>17</v>
      </c>
      <c r="C341" t="s">
        <v>25</v>
      </c>
      <c r="D341" t="s">
        <v>19</v>
      </c>
      <c r="E341">
        <v>2518</v>
      </c>
      <c r="F341">
        <v>10</v>
      </c>
      <c r="G341">
        <v>12</v>
      </c>
      <c r="H341">
        <v>30216</v>
      </c>
      <c r="I341">
        <v>0</v>
      </c>
      <c r="J341">
        <v>30216</v>
      </c>
      <c r="K341">
        <v>7554</v>
      </c>
      <c r="L341">
        <v>22662</v>
      </c>
      <c r="M341" s="2">
        <v>41791</v>
      </c>
      <c r="N341">
        <v>6</v>
      </c>
      <c r="O341" t="s">
        <v>24</v>
      </c>
      <c r="P341">
        <v>2014</v>
      </c>
    </row>
    <row r="342" spans="1:16" x14ac:dyDescent="0.2">
      <c r="A342" t="s">
        <v>44</v>
      </c>
      <c r="B342" t="s">
        <v>21</v>
      </c>
      <c r="C342" t="s">
        <v>25</v>
      </c>
      <c r="D342" t="s">
        <v>19</v>
      </c>
      <c r="E342">
        <v>367</v>
      </c>
      <c r="F342">
        <v>10</v>
      </c>
      <c r="G342">
        <v>12</v>
      </c>
      <c r="H342">
        <v>4404</v>
      </c>
      <c r="I342">
        <v>0</v>
      </c>
      <c r="J342">
        <v>4404</v>
      </c>
      <c r="K342">
        <v>1101</v>
      </c>
      <c r="L342">
        <v>3303</v>
      </c>
      <c r="M342" s="2">
        <v>41821</v>
      </c>
      <c r="N342">
        <v>7</v>
      </c>
      <c r="O342" t="s">
        <v>31</v>
      </c>
      <c r="P342">
        <v>2014</v>
      </c>
    </row>
    <row r="343" spans="1:16" x14ac:dyDescent="0.2">
      <c r="A343" t="s">
        <v>43</v>
      </c>
      <c r="B343" t="s">
        <v>22</v>
      </c>
      <c r="C343" t="s">
        <v>25</v>
      </c>
      <c r="D343" t="s">
        <v>19</v>
      </c>
      <c r="E343">
        <v>549</v>
      </c>
      <c r="F343">
        <v>10</v>
      </c>
      <c r="G343">
        <v>15</v>
      </c>
      <c r="H343">
        <v>8235</v>
      </c>
      <c r="I343">
        <v>0</v>
      </c>
      <c r="J343">
        <v>8235</v>
      </c>
      <c r="K343">
        <v>5490</v>
      </c>
      <c r="L343">
        <v>2745</v>
      </c>
      <c r="M343" s="2">
        <v>41518</v>
      </c>
      <c r="N343">
        <v>9</v>
      </c>
      <c r="O343" t="s">
        <v>39</v>
      </c>
      <c r="P343">
        <v>2013</v>
      </c>
    </row>
    <row r="344" spans="1:16" x14ac:dyDescent="0.2">
      <c r="A344" t="s">
        <v>43</v>
      </c>
      <c r="B344" t="s">
        <v>35</v>
      </c>
      <c r="C344" t="s">
        <v>25</v>
      </c>
      <c r="D344" t="s">
        <v>19</v>
      </c>
      <c r="E344">
        <v>2472</v>
      </c>
      <c r="F344">
        <v>10</v>
      </c>
      <c r="G344">
        <v>15</v>
      </c>
      <c r="H344">
        <v>37080</v>
      </c>
      <c r="I344">
        <v>0</v>
      </c>
      <c r="J344">
        <v>37080</v>
      </c>
      <c r="K344">
        <v>24720</v>
      </c>
      <c r="L344">
        <v>12360</v>
      </c>
      <c r="M344" s="2">
        <v>41883</v>
      </c>
      <c r="N344">
        <v>9</v>
      </c>
      <c r="O344" t="s">
        <v>39</v>
      </c>
      <c r="P344">
        <v>2014</v>
      </c>
    </row>
    <row r="345" spans="1:16" x14ac:dyDescent="0.2">
      <c r="A345" t="s">
        <v>44</v>
      </c>
      <c r="B345" t="s">
        <v>32</v>
      </c>
      <c r="C345" t="s">
        <v>25</v>
      </c>
      <c r="D345" t="s">
        <v>19</v>
      </c>
      <c r="E345">
        <v>912</v>
      </c>
      <c r="F345">
        <v>10</v>
      </c>
      <c r="G345">
        <v>12</v>
      </c>
      <c r="H345">
        <v>10944</v>
      </c>
      <c r="I345">
        <v>0</v>
      </c>
      <c r="J345">
        <v>10944</v>
      </c>
      <c r="K345">
        <v>2736</v>
      </c>
      <c r="L345">
        <v>8208</v>
      </c>
      <c r="M345" s="2">
        <v>41579</v>
      </c>
      <c r="N345">
        <v>11</v>
      </c>
      <c r="O345" t="s">
        <v>36</v>
      </c>
      <c r="P345">
        <v>2013</v>
      </c>
    </row>
    <row r="346" spans="1:16" x14ac:dyDescent="0.2">
      <c r="A346" t="s">
        <v>43</v>
      </c>
      <c r="B346" t="s">
        <v>17</v>
      </c>
      <c r="C346" t="s">
        <v>25</v>
      </c>
      <c r="D346" t="s">
        <v>19</v>
      </c>
      <c r="E346">
        <v>2152</v>
      </c>
      <c r="F346">
        <v>10</v>
      </c>
      <c r="G346">
        <v>15</v>
      </c>
      <c r="H346">
        <v>32280</v>
      </c>
      <c r="I346">
        <v>0</v>
      </c>
      <c r="J346">
        <v>32280</v>
      </c>
      <c r="K346">
        <v>21520</v>
      </c>
      <c r="L346">
        <v>10760</v>
      </c>
      <c r="M346" s="2">
        <v>41609</v>
      </c>
      <c r="N346">
        <v>12</v>
      </c>
      <c r="O346" t="s">
        <v>27</v>
      </c>
      <c r="P346">
        <v>2013</v>
      </c>
    </row>
    <row r="347" spans="1:16" x14ac:dyDescent="0.2">
      <c r="A347" t="s">
        <v>43</v>
      </c>
      <c r="B347" t="s">
        <v>22</v>
      </c>
      <c r="C347" t="s">
        <v>25</v>
      </c>
      <c r="D347" t="s">
        <v>30</v>
      </c>
      <c r="E347">
        <v>2296</v>
      </c>
      <c r="F347">
        <v>10</v>
      </c>
      <c r="G347">
        <v>15</v>
      </c>
      <c r="H347">
        <v>34440</v>
      </c>
      <c r="I347">
        <v>344.4</v>
      </c>
      <c r="J347">
        <v>34095.599999999999</v>
      </c>
      <c r="K347">
        <v>22960</v>
      </c>
      <c r="L347">
        <v>11135.6</v>
      </c>
      <c r="M347" s="2">
        <v>41671</v>
      </c>
      <c r="N347">
        <v>2</v>
      </c>
      <c r="O347" t="s">
        <v>26</v>
      </c>
      <c r="P347">
        <v>2014</v>
      </c>
    </row>
    <row r="348" spans="1:16" x14ac:dyDescent="0.2">
      <c r="A348" t="s">
        <v>43</v>
      </c>
      <c r="B348" t="s">
        <v>32</v>
      </c>
      <c r="C348" t="s">
        <v>25</v>
      </c>
      <c r="D348" t="s">
        <v>30</v>
      </c>
      <c r="E348">
        <v>1514</v>
      </c>
      <c r="F348">
        <v>10</v>
      </c>
      <c r="G348">
        <v>15</v>
      </c>
      <c r="H348">
        <v>22710</v>
      </c>
      <c r="I348">
        <v>227.1</v>
      </c>
      <c r="J348">
        <v>22482.9</v>
      </c>
      <c r="K348">
        <v>15140</v>
      </c>
      <c r="L348">
        <v>7342.9</v>
      </c>
      <c r="M348" s="2">
        <v>41671</v>
      </c>
      <c r="N348">
        <v>2</v>
      </c>
      <c r="O348" t="s">
        <v>26</v>
      </c>
      <c r="P348">
        <v>2014</v>
      </c>
    </row>
    <row r="349" spans="1:16" x14ac:dyDescent="0.2">
      <c r="A349" t="s">
        <v>43</v>
      </c>
      <c r="B349" t="s">
        <v>21</v>
      </c>
      <c r="C349" t="s">
        <v>25</v>
      </c>
      <c r="D349" t="s">
        <v>30</v>
      </c>
      <c r="E349">
        <v>747</v>
      </c>
      <c r="F349">
        <v>10</v>
      </c>
      <c r="G349">
        <v>15</v>
      </c>
      <c r="H349">
        <v>11205</v>
      </c>
      <c r="I349">
        <v>112.05</v>
      </c>
      <c r="J349">
        <v>11092.95</v>
      </c>
      <c r="K349">
        <v>7470</v>
      </c>
      <c r="L349">
        <v>3622.95</v>
      </c>
      <c r="M349" s="2">
        <v>41883</v>
      </c>
      <c r="N349">
        <v>9</v>
      </c>
      <c r="O349" t="s">
        <v>39</v>
      </c>
      <c r="P349">
        <v>2014</v>
      </c>
    </row>
    <row r="350" spans="1:16" x14ac:dyDescent="0.2">
      <c r="A350" t="s">
        <v>44</v>
      </c>
      <c r="B350" t="s">
        <v>21</v>
      </c>
      <c r="C350" t="s">
        <v>25</v>
      </c>
      <c r="D350" t="s">
        <v>30</v>
      </c>
      <c r="E350">
        <v>766</v>
      </c>
      <c r="F350">
        <v>10</v>
      </c>
      <c r="G350">
        <v>12</v>
      </c>
      <c r="H350">
        <v>9192</v>
      </c>
      <c r="I350">
        <v>91.92</v>
      </c>
      <c r="J350">
        <v>9100.08</v>
      </c>
      <c r="K350">
        <v>2298</v>
      </c>
      <c r="L350">
        <v>6802.08</v>
      </c>
      <c r="M350" s="2">
        <v>41548</v>
      </c>
      <c r="N350">
        <v>10</v>
      </c>
      <c r="O350" t="s">
        <v>33</v>
      </c>
      <c r="P350">
        <v>2013</v>
      </c>
    </row>
    <row r="351" spans="1:16" x14ac:dyDescent="0.2">
      <c r="A351" t="s">
        <v>43</v>
      </c>
      <c r="B351" t="s">
        <v>17</v>
      </c>
      <c r="C351" t="s">
        <v>25</v>
      </c>
      <c r="D351" t="s">
        <v>30</v>
      </c>
      <c r="E351">
        <v>2363</v>
      </c>
      <c r="F351">
        <v>10</v>
      </c>
      <c r="G351">
        <v>15</v>
      </c>
      <c r="H351">
        <v>35445</v>
      </c>
      <c r="I351">
        <v>708.9</v>
      </c>
      <c r="J351">
        <v>34736.1</v>
      </c>
      <c r="K351">
        <v>23630</v>
      </c>
      <c r="L351">
        <v>11106.1</v>
      </c>
      <c r="M351" s="2">
        <v>41671</v>
      </c>
      <c r="N351">
        <v>2</v>
      </c>
      <c r="O351" t="s">
        <v>26</v>
      </c>
      <c r="P351">
        <v>2014</v>
      </c>
    </row>
    <row r="352" spans="1:16" x14ac:dyDescent="0.2">
      <c r="A352" t="s">
        <v>44</v>
      </c>
      <c r="B352" t="s">
        <v>32</v>
      </c>
      <c r="C352" t="s">
        <v>25</v>
      </c>
      <c r="D352" t="s">
        <v>30</v>
      </c>
      <c r="E352">
        <v>1142</v>
      </c>
      <c r="F352">
        <v>10</v>
      </c>
      <c r="G352">
        <v>12</v>
      </c>
      <c r="H352">
        <v>13704</v>
      </c>
      <c r="I352">
        <v>274.08</v>
      </c>
      <c r="J352">
        <v>13429.92</v>
      </c>
      <c r="K352">
        <v>3426</v>
      </c>
      <c r="L352">
        <v>10003.92</v>
      </c>
      <c r="M352" s="2">
        <v>41791</v>
      </c>
      <c r="N352">
        <v>6</v>
      </c>
      <c r="O352" t="s">
        <v>24</v>
      </c>
      <c r="P352">
        <v>2014</v>
      </c>
    </row>
    <row r="353" spans="1:16" x14ac:dyDescent="0.2">
      <c r="A353" t="s">
        <v>44</v>
      </c>
      <c r="B353" t="s">
        <v>17</v>
      </c>
      <c r="C353" t="s">
        <v>25</v>
      </c>
      <c r="D353" t="s">
        <v>30</v>
      </c>
      <c r="E353">
        <v>1295</v>
      </c>
      <c r="F353">
        <v>10</v>
      </c>
      <c r="G353">
        <v>12</v>
      </c>
      <c r="H353">
        <v>15540</v>
      </c>
      <c r="I353">
        <v>310.8</v>
      </c>
      <c r="J353">
        <v>15229.2</v>
      </c>
      <c r="K353">
        <v>3885</v>
      </c>
      <c r="L353">
        <v>11344.2</v>
      </c>
      <c r="M353" s="2">
        <v>41913</v>
      </c>
      <c r="N353">
        <v>10</v>
      </c>
      <c r="O353" t="s">
        <v>33</v>
      </c>
      <c r="P353">
        <v>2014</v>
      </c>
    </row>
    <row r="354" spans="1:16" x14ac:dyDescent="0.2">
      <c r="A354" t="s">
        <v>44</v>
      </c>
      <c r="B354" t="s">
        <v>22</v>
      </c>
      <c r="C354" t="s">
        <v>25</v>
      </c>
      <c r="D354" t="s">
        <v>30</v>
      </c>
      <c r="E354">
        <v>1785</v>
      </c>
      <c r="F354">
        <v>10</v>
      </c>
      <c r="G354">
        <v>12</v>
      </c>
      <c r="H354">
        <v>21420</v>
      </c>
      <c r="I354">
        <v>428.4</v>
      </c>
      <c r="J354">
        <v>20991.599999999999</v>
      </c>
      <c r="K354">
        <v>5355</v>
      </c>
      <c r="L354">
        <v>15636.6</v>
      </c>
      <c r="M354" s="2">
        <v>41579</v>
      </c>
      <c r="N354">
        <v>11</v>
      </c>
      <c r="O354" t="s">
        <v>36</v>
      </c>
      <c r="P354">
        <v>2013</v>
      </c>
    </row>
    <row r="355" spans="1:16" x14ac:dyDescent="0.2">
      <c r="A355" t="s">
        <v>43</v>
      </c>
      <c r="B355" t="s">
        <v>32</v>
      </c>
      <c r="C355" t="s">
        <v>25</v>
      </c>
      <c r="D355" t="s">
        <v>30</v>
      </c>
      <c r="E355">
        <v>1925</v>
      </c>
      <c r="F355">
        <v>10</v>
      </c>
      <c r="G355">
        <v>15</v>
      </c>
      <c r="H355">
        <v>28875</v>
      </c>
      <c r="I355">
        <v>577.5</v>
      </c>
      <c r="J355">
        <v>28297.5</v>
      </c>
      <c r="K355">
        <v>19250</v>
      </c>
      <c r="L355">
        <v>9047.5</v>
      </c>
      <c r="M355" s="2">
        <v>41609</v>
      </c>
      <c r="N355">
        <v>12</v>
      </c>
      <c r="O355" t="s">
        <v>27</v>
      </c>
      <c r="P355">
        <v>2013</v>
      </c>
    </row>
    <row r="356" spans="1:16" x14ac:dyDescent="0.2">
      <c r="A356" t="s">
        <v>44</v>
      </c>
      <c r="B356" t="s">
        <v>22</v>
      </c>
      <c r="C356" t="s">
        <v>25</v>
      </c>
      <c r="D356" t="s">
        <v>30</v>
      </c>
      <c r="E356">
        <v>1055</v>
      </c>
      <c r="F356">
        <v>10</v>
      </c>
      <c r="G356">
        <v>12</v>
      </c>
      <c r="H356">
        <v>12660</v>
      </c>
      <c r="I356">
        <v>253.2</v>
      </c>
      <c r="J356">
        <v>12406.8</v>
      </c>
      <c r="K356">
        <v>3165</v>
      </c>
      <c r="L356">
        <v>9241.7999999999993</v>
      </c>
      <c r="M356" s="2">
        <v>41974</v>
      </c>
      <c r="N356">
        <v>12</v>
      </c>
      <c r="O356" t="s">
        <v>27</v>
      </c>
      <c r="P356">
        <v>2014</v>
      </c>
    </row>
    <row r="357" spans="1:16" x14ac:dyDescent="0.2">
      <c r="A357" t="s">
        <v>44</v>
      </c>
      <c r="B357" t="s">
        <v>35</v>
      </c>
      <c r="C357" t="s">
        <v>25</v>
      </c>
      <c r="D357" t="s">
        <v>30</v>
      </c>
      <c r="E357">
        <v>1084</v>
      </c>
      <c r="F357">
        <v>10</v>
      </c>
      <c r="G357">
        <v>12</v>
      </c>
      <c r="H357">
        <v>13008</v>
      </c>
      <c r="I357">
        <v>260.16000000000003</v>
      </c>
      <c r="J357">
        <v>12747.84</v>
      </c>
      <c r="K357">
        <v>3252</v>
      </c>
      <c r="L357">
        <v>9495.84</v>
      </c>
      <c r="M357" s="2">
        <v>41974</v>
      </c>
      <c r="N357">
        <v>12</v>
      </c>
      <c r="O357" t="s">
        <v>27</v>
      </c>
      <c r="P357">
        <v>2014</v>
      </c>
    </row>
    <row r="358" spans="1:16" x14ac:dyDescent="0.2">
      <c r="A358" t="s">
        <v>44</v>
      </c>
      <c r="B358" t="s">
        <v>22</v>
      </c>
      <c r="C358" t="s">
        <v>25</v>
      </c>
      <c r="D358" t="s">
        <v>30</v>
      </c>
      <c r="E358">
        <v>1901</v>
      </c>
      <c r="F358">
        <v>10</v>
      </c>
      <c r="G358">
        <v>12</v>
      </c>
      <c r="H358">
        <v>22812</v>
      </c>
      <c r="I358">
        <v>684.36</v>
      </c>
      <c r="J358">
        <v>22127.64</v>
      </c>
      <c r="K358">
        <v>5703</v>
      </c>
      <c r="L358">
        <v>16424.64</v>
      </c>
      <c r="M358" s="2">
        <v>41791</v>
      </c>
      <c r="N358">
        <v>6</v>
      </c>
      <c r="O358" t="s">
        <v>24</v>
      </c>
      <c r="P358">
        <v>2014</v>
      </c>
    </row>
    <row r="359" spans="1:16" x14ac:dyDescent="0.2">
      <c r="A359" t="s">
        <v>44</v>
      </c>
      <c r="B359" t="s">
        <v>32</v>
      </c>
      <c r="C359" t="s">
        <v>25</v>
      </c>
      <c r="D359" t="s">
        <v>30</v>
      </c>
      <c r="E359">
        <v>1369.5</v>
      </c>
      <c r="F359">
        <v>10</v>
      </c>
      <c r="G359">
        <v>12</v>
      </c>
      <c r="H359">
        <v>16434</v>
      </c>
      <c r="I359">
        <v>493.02</v>
      </c>
      <c r="J359">
        <v>15940.98</v>
      </c>
      <c r="K359">
        <v>4108.5</v>
      </c>
      <c r="L359">
        <v>11832.48</v>
      </c>
      <c r="M359" s="2">
        <v>41821</v>
      </c>
      <c r="N359">
        <v>7</v>
      </c>
      <c r="O359" t="s">
        <v>31</v>
      </c>
      <c r="P359">
        <v>2014</v>
      </c>
    </row>
    <row r="360" spans="1:16" x14ac:dyDescent="0.2">
      <c r="A360" t="s">
        <v>43</v>
      </c>
      <c r="B360" t="s">
        <v>21</v>
      </c>
      <c r="C360" t="s">
        <v>25</v>
      </c>
      <c r="D360" t="s">
        <v>30</v>
      </c>
      <c r="E360">
        <v>1945</v>
      </c>
      <c r="F360">
        <v>10</v>
      </c>
      <c r="G360">
        <v>15</v>
      </c>
      <c r="H360">
        <v>29175</v>
      </c>
      <c r="I360">
        <v>875.25</v>
      </c>
      <c r="J360">
        <v>28299.75</v>
      </c>
      <c r="K360">
        <v>19450</v>
      </c>
      <c r="L360">
        <v>8849.75</v>
      </c>
      <c r="M360" s="2">
        <v>41548</v>
      </c>
      <c r="N360">
        <v>10</v>
      </c>
      <c r="O360" t="s">
        <v>33</v>
      </c>
      <c r="P360">
        <v>2013</v>
      </c>
    </row>
    <row r="361" spans="1:16" x14ac:dyDescent="0.2">
      <c r="A361" t="s">
        <v>43</v>
      </c>
      <c r="B361" t="s">
        <v>35</v>
      </c>
      <c r="C361" t="s">
        <v>25</v>
      </c>
      <c r="D361" t="s">
        <v>30</v>
      </c>
      <c r="E361">
        <v>2031</v>
      </c>
      <c r="F361">
        <v>10</v>
      </c>
      <c r="G361">
        <v>15</v>
      </c>
      <c r="H361">
        <v>30465</v>
      </c>
      <c r="I361">
        <v>1218.5999999999999</v>
      </c>
      <c r="J361">
        <v>29246.400000000001</v>
      </c>
      <c r="K361">
        <v>20310</v>
      </c>
      <c r="L361">
        <v>8936.4</v>
      </c>
      <c r="M361" s="2">
        <v>41913</v>
      </c>
      <c r="N361">
        <v>10</v>
      </c>
      <c r="O361" t="s">
        <v>33</v>
      </c>
      <c r="P361">
        <v>2014</v>
      </c>
    </row>
    <row r="362" spans="1:16" x14ac:dyDescent="0.2">
      <c r="A362" t="s">
        <v>43</v>
      </c>
      <c r="B362" t="s">
        <v>22</v>
      </c>
      <c r="C362" t="s">
        <v>25</v>
      </c>
      <c r="D362" t="s">
        <v>30</v>
      </c>
      <c r="E362">
        <v>2261</v>
      </c>
      <c r="F362">
        <v>10</v>
      </c>
      <c r="G362">
        <v>15</v>
      </c>
      <c r="H362">
        <v>33915</v>
      </c>
      <c r="I362">
        <v>1356.6</v>
      </c>
      <c r="J362">
        <v>32558.400000000001</v>
      </c>
      <c r="K362">
        <v>22610</v>
      </c>
      <c r="L362">
        <v>9948.4</v>
      </c>
      <c r="M362" s="2">
        <v>41609</v>
      </c>
      <c r="N362">
        <v>12</v>
      </c>
      <c r="O362" t="s">
        <v>27</v>
      </c>
      <c r="P362">
        <v>2013</v>
      </c>
    </row>
    <row r="363" spans="1:16" x14ac:dyDescent="0.2">
      <c r="A363" t="s">
        <v>43</v>
      </c>
      <c r="B363" t="s">
        <v>17</v>
      </c>
      <c r="C363" t="s">
        <v>25</v>
      </c>
      <c r="D363" t="s">
        <v>30</v>
      </c>
      <c r="E363">
        <v>218</v>
      </c>
      <c r="F363">
        <v>10</v>
      </c>
      <c r="G363">
        <v>15</v>
      </c>
      <c r="H363">
        <v>3270</v>
      </c>
      <c r="I363">
        <v>130.80000000000001</v>
      </c>
      <c r="J363">
        <v>3139.2</v>
      </c>
      <c r="K363">
        <v>2180</v>
      </c>
      <c r="L363">
        <v>959.2</v>
      </c>
      <c r="M363" s="2">
        <v>41883</v>
      </c>
      <c r="N363">
        <v>9</v>
      </c>
      <c r="O363" t="s">
        <v>39</v>
      </c>
      <c r="P363">
        <v>2014</v>
      </c>
    </row>
    <row r="364" spans="1:16" x14ac:dyDescent="0.2">
      <c r="A364" t="s">
        <v>43</v>
      </c>
      <c r="B364" t="s">
        <v>32</v>
      </c>
      <c r="C364" t="s">
        <v>25</v>
      </c>
      <c r="D364" t="s">
        <v>30</v>
      </c>
      <c r="E364">
        <v>671</v>
      </c>
      <c r="F364">
        <v>10</v>
      </c>
      <c r="G364">
        <v>15</v>
      </c>
      <c r="H364">
        <v>10065</v>
      </c>
      <c r="I364">
        <v>402.6</v>
      </c>
      <c r="J364">
        <v>9662.4</v>
      </c>
      <c r="K364">
        <v>6710</v>
      </c>
      <c r="L364">
        <v>2952.4</v>
      </c>
      <c r="M364" s="2">
        <v>41548</v>
      </c>
      <c r="N364">
        <v>10</v>
      </c>
      <c r="O364" t="s">
        <v>33</v>
      </c>
      <c r="P364">
        <v>2013</v>
      </c>
    </row>
    <row r="365" spans="1:16" x14ac:dyDescent="0.2">
      <c r="A365" t="s">
        <v>43</v>
      </c>
      <c r="B365" t="s">
        <v>35</v>
      </c>
      <c r="C365" t="s">
        <v>25</v>
      </c>
      <c r="D365" t="s">
        <v>30</v>
      </c>
      <c r="E365">
        <v>1514</v>
      </c>
      <c r="F365">
        <v>10</v>
      </c>
      <c r="G365">
        <v>15</v>
      </c>
      <c r="H365">
        <v>22710</v>
      </c>
      <c r="I365">
        <v>908.4</v>
      </c>
      <c r="J365">
        <v>21801.599999999999</v>
      </c>
      <c r="K365">
        <v>15140</v>
      </c>
      <c r="L365">
        <v>6661.6</v>
      </c>
      <c r="M365" s="2">
        <v>41548</v>
      </c>
      <c r="N365">
        <v>10</v>
      </c>
      <c r="O365" t="s">
        <v>33</v>
      </c>
      <c r="P365">
        <v>2013</v>
      </c>
    </row>
    <row r="366" spans="1:16" x14ac:dyDescent="0.2">
      <c r="A366" t="s">
        <v>44</v>
      </c>
      <c r="B366" t="s">
        <v>17</v>
      </c>
      <c r="C366" t="s">
        <v>25</v>
      </c>
      <c r="D366" t="s">
        <v>40</v>
      </c>
      <c r="E366">
        <v>2431</v>
      </c>
      <c r="F366">
        <v>10</v>
      </c>
      <c r="G366">
        <v>12</v>
      </c>
      <c r="H366">
        <v>29172</v>
      </c>
      <c r="I366">
        <v>1458.6</v>
      </c>
      <c r="J366">
        <v>27713.4</v>
      </c>
      <c r="K366">
        <v>7293</v>
      </c>
      <c r="L366">
        <v>20420.400000000001</v>
      </c>
      <c r="M366" s="2">
        <v>41974</v>
      </c>
      <c r="N366">
        <v>12</v>
      </c>
      <c r="O366" t="s">
        <v>27</v>
      </c>
      <c r="P366">
        <v>2014</v>
      </c>
    </row>
    <row r="367" spans="1:16" x14ac:dyDescent="0.2">
      <c r="A367" t="s">
        <v>43</v>
      </c>
      <c r="B367" t="s">
        <v>22</v>
      </c>
      <c r="C367" t="s">
        <v>25</v>
      </c>
      <c r="D367" t="s">
        <v>40</v>
      </c>
      <c r="E367">
        <v>2620</v>
      </c>
      <c r="F367">
        <v>10</v>
      </c>
      <c r="G367">
        <v>15</v>
      </c>
      <c r="H367">
        <v>39300</v>
      </c>
      <c r="I367">
        <v>1965</v>
      </c>
      <c r="J367">
        <v>37335</v>
      </c>
      <c r="K367">
        <v>26200</v>
      </c>
      <c r="L367">
        <v>11135</v>
      </c>
      <c r="M367" s="2">
        <v>41883</v>
      </c>
      <c r="N367">
        <v>9</v>
      </c>
      <c r="O367" t="s">
        <v>39</v>
      </c>
      <c r="P367">
        <v>2014</v>
      </c>
    </row>
    <row r="368" spans="1:16" x14ac:dyDescent="0.2">
      <c r="A368" t="s">
        <v>43</v>
      </c>
      <c r="B368" t="s">
        <v>21</v>
      </c>
      <c r="C368" t="s">
        <v>25</v>
      </c>
      <c r="D368" t="s">
        <v>40</v>
      </c>
      <c r="E368">
        <v>2116</v>
      </c>
      <c r="F368">
        <v>10</v>
      </c>
      <c r="G368">
        <v>15</v>
      </c>
      <c r="H368">
        <v>31740</v>
      </c>
      <c r="I368">
        <v>1587</v>
      </c>
      <c r="J368">
        <v>30153</v>
      </c>
      <c r="K368">
        <v>21160</v>
      </c>
      <c r="L368">
        <v>8993</v>
      </c>
      <c r="M368" s="2">
        <v>41609</v>
      </c>
      <c r="N368">
        <v>12</v>
      </c>
      <c r="O368" t="s">
        <v>27</v>
      </c>
      <c r="P368">
        <v>2013</v>
      </c>
    </row>
    <row r="369" spans="1:16" x14ac:dyDescent="0.2">
      <c r="A369" t="s">
        <v>43</v>
      </c>
      <c r="B369" t="s">
        <v>22</v>
      </c>
      <c r="C369" t="s">
        <v>25</v>
      </c>
      <c r="D369" t="s">
        <v>40</v>
      </c>
      <c r="E369">
        <v>3801</v>
      </c>
      <c r="F369">
        <v>10</v>
      </c>
      <c r="G369">
        <v>15</v>
      </c>
      <c r="H369">
        <v>57015</v>
      </c>
      <c r="I369">
        <v>3420.9</v>
      </c>
      <c r="J369">
        <v>53594.1</v>
      </c>
      <c r="K369">
        <v>38010</v>
      </c>
      <c r="L369">
        <v>15584.1</v>
      </c>
      <c r="M369" s="2">
        <v>41730</v>
      </c>
      <c r="N369">
        <v>4</v>
      </c>
      <c r="O369" t="s">
        <v>37</v>
      </c>
      <c r="P369">
        <v>2014</v>
      </c>
    </row>
    <row r="370" spans="1:16" x14ac:dyDescent="0.2">
      <c r="A370" t="s">
        <v>44</v>
      </c>
      <c r="B370" t="s">
        <v>17</v>
      </c>
      <c r="C370" t="s">
        <v>25</v>
      </c>
      <c r="D370" t="s">
        <v>40</v>
      </c>
      <c r="E370">
        <v>2299</v>
      </c>
      <c r="F370">
        <v>10</v>
      </c>
      <c r="G370">
        <v>12</v>
      </c>
      <c r="H370">
        <v>27588</v>
      </c>
      <c r="I370">
        <v>1655.28</v>
      </c>
      <c r="J370">
        <v>25932.720000000001</v>
      </c>
      <c r="K370">
        <v>6897</v>
      </c>
      <c r="L370">
        <v>19035.72</v>
      </c>
      <c r="M370" s="2">
        <v>41548</v>
      </c>
      <c r="N370">
        <v>10</v>
      </c>
      <c r="O370" t="s">
        <v>33</v>
      </c>
      <c r="P370">
        <v>2013</v>
      </c>
    </row>
    <row r="371" spans="1:16" x14ac:dyDescent="0.2">
      <c r="A371" t="s">
        <v>43</v>
      </c>
      <c r="B371" t="s">
        <v>32</v>
      </c>
      <c r="C371" t="s">
        <v>25</v>
      </c>
      <c r="D371" t="s">
        <v>40</v>
      </c>
      <c r="E371">
        <v>2198</v>
      </c>
      <c r="F371">
        <v>10</v>
      </c>
      <c r="G371">
        <v>15</v>
      </c>
      <c r="H371">
        <v>32970</v>
      </c>
      <c r="I371">
        <v>1978.2</v>
      </c>
      <c r="J371">
        <v>30991.8</v>
      </c>
      <c r="K371">
        <v>21980</v>
      </c>
      <c r="L371">
        <v>9011.7999999999993</v>
      </c>
      <c r="M371" s="2">
        <v>41852</v>
      </c>
      <c r="N371">
        <v>8</v>
      </c>
      <c r="O371" t="s">
        <v>41</v>
      </c>
      <c r="P371">
        <v>2014</v>
      </c>
    </row>
    <row r="372" spans="1:16" x14ac:dyDescent="0.2">
      <c r="A372" t="s">
        <v>43</v>
      </c>
      <c r="B372" t="s">
        <v>21</v>
      </c>
      <c r="C372" t="s">
        <v>25</v>
      </c>
      <c r="D372" t="s">
        <v>40</v>
      </c>
      <c r="E372">
        <v>1743</v>
      </c>
      <c r="F372">
        <v>10</v>
      </c>
      <c r="G372">
        <v>15</v>
      </c>
      <c r="H372">
        <v>26145</v>
      </c>
      <c r="I372">
        <v>1568.7</v>
      </c>
      <c r="J372">
        <v>24576.3</v>
      </c>
      <c r="K372">
        <v>17430</v>
      </c>
      <c r="L372">
        <v>7146.3</v>
      </c>
      <c r="M372" s="2">
        <v>41852</v>
      </c>
      <c r="N372">
        <v>8</v>
      </c>
      <c r="O372" t="s">
        <v>41</v>
      </c>
      <c r="P372">
        <v>2014</v>
      </c>
    </row>
    <row r="373" spans="1:16" x14ac:dyDescent="0.2">
      <c r="A373" t="s">
        <v>43</v>
      </c>
      <c r="B373" t="s">
        <v>32</v>
      </c>
      <c r="C373" t="s">
        <v>25</v>
      </c>
      <c r="D373" t="s">
        <v>40</v>
      </c>
      <c r="E373">
        <v>1153</v>
      </c>
      <c r="F373">
        <v>10</v>
      </c>
      <c r="G373">
        <v>15</v>
      </c>
      <c r="H373">
        <v>17295</v>
      </c>
      <c r="I373">
        <v>1037.7</v>
      </c>
      <c r="J373">
        <v>16257.3</v>
      </c>
      <c r="K373">
        <v>11530</v>
      </c>
      <c r="L373">
        <v>4727.3</v>
      </c>
      <c r="M373" s="2">
        <v>41913</v>
      </c>
      <c r="N373">
        <v>10</v>
      </c>
      <c r="O373" t="s">
        <v>33</v>
      </c>
      <c r="P373">
        <v>2014</v>
      </c>
    </row>
    <row r="374" spans="1:16" x14ac:dyDescent="0.2">
      <c r="A374" t="s">
        <v>43</v>
      </c>
      <c r="B374" t="s">
        <v>22</v>
      </c>
      <c r="C374" t="s">
        <v>25</v>
      </c>
      <c r="D374" t="s">
        <v>40</v>
      </c>
      <c r="E374">
        <v>2101</v>
      </c>
      <c r="F374">
        <v>10</v>
      </c>
      <c r="G374">
        <v>15</v>
      </c>
      <c r="H374">
        <v>31515</v>
      </c>
      <c r="I374">
        <v>2206.0500000000002</v>
      </c>
      <c r="J374">
        <v>29308.95</v>
      </c>
      <c r="K374">
        <v>21010</v>
      </c>
      <c r="L374">
        <v>8298.9500000000007</v>
      </c>
      <c r="M374" s="2">
        <v>41852</v>
      </c>
      <c r="N374">
        <v>8</v>
      </c>
      <c r="O374" t="s">
        <v>41</v>
      </c>
      <c r="P374">
        <v>2014</v>
      </c>
    </row>
    <row r="375" spans="1:16" x14ac:dyDescent="0.2">
      <c r="A375" t="s">
        <v>43</v>
      </c>
      <c r="B375" t="s">
        <v>32</v>
      </c>
      <c r="C375" t="s">
        <v>25</v>
      </c>
      <c r="D375" t="s">
        <v>40</v>
      </c>
      <c r="E375">
        <v>2931</v>
      </c>
      <c r="F375">
        <v>10</v>
      </c>
      <c r="G375">
        <v>15</v>
      </c>
      <c r="H375">
        <v>43965</v>
      </c>
      <c r="I375">
        <v>3077.55</v>
      </c>
      <c r="J375">
        <v>40887.449999999997</v>
      </c>
      <c r="K375">
        <v>29310</v>
      </c>
      <c r="L375">
        <v>11577.45</v>
      </c>
      <c r="M375" s="2">
        <v>41518</v>
      </c>
      <c r="N375">
        <v>9</v>
      </c>
      <c r="O375" t="s">
        <v>39</v>
      </c>
      <c r="P375">
        <v>2013</v>
      </c>
    </row>
    <row r="376" spans="1:16" x14ac:dyDescent="0.2">
      <c r="A376" t="s">
        <v>44</v>
      </c>
      <c r="B376" t="s">
        <v>35</v>
      </c>
      <c r="C376" t="s">
        <v>25</v>
      </c>
      <c r="D376" t="s">
        <v>40</v>
      </c>
      <c r="E376">
        <v>2763</v>
      </c>
      <c r="F376">
        <v>10</v>
      </c>
      <c r="G376">
        <v>12</v>
      </c>
      <c r="H376">
        <v>33156</v>
      </c>
      <c r="I376">
        <v>2320.92</v>
      </c>
      <c r="J376">
        <v>30835.08</v>
      </c>
      <c r="K376">
        <v>8289</v>
      </c>
      <c r="L376">
        <v>22546.080000000002</v>
      </c>
      <c r="M376" s="2">
        <v>41579</v>
      </c>
      <c r="N376">
        <v>11</v>
      </c>
      <c r="O376" t="s">
        <v>36</v>
      </c>
      <c r="P376">
        <v>2013</v>
      </c>
    </row>
    <row r="377" spans="1:16" x14ac:dyDescent="0.2">
      <c r="A377" t="s">
        <v>43</v>
      </c>
      <c r="B377" t="s">
        <v>32</v>
      </c>
      <c r="C377" t="s">
        <v>25</v>
      </c>
      <c r="D377" t="s">
        <v>40</v>
      </c>
      <c r="E377">
        <v>3675</v>
      </c>
      <c r="F377">
        <v>10</v>
      </c>
      <c r="G377">
        <v>15</v>
      </c>
      <c r="H377">
        <v>55125</v>
      </c>
      <c r="I377">
        <v>4961.25</v>
      </c>
      <c r="J377">
        <v>50163.75</v>
      </c>
      <c r="K377">
        <v>36750</v>
      </c>
      <c r="L377">
        <v>13413.75</v>
      </c>
      <c r="M377" s="2">
        <v>41730</v>
      </c>
      <c r="N377">
        <v>4</v>
      </c>
      <c r="O377" t="s">
        <v>37</v>
      </c>
      <c r="P377">
        <v>2014</v>
      </c>
    </row>
    <row r="378" spans="1:16" x14ac:dyDescent="0.2">
      <c r="A378" t="s">
        <v>43</v>
      </c>
      <c r="B378" t="s">
        <v>22</v>
      </c>
      <c r="C378" t="s">
        <v>25</v>
      </c>
      <c r="D378" t="s">
        <v>40</v>
      </c>
      <c r="E378">
        <v>1227</v>
      </c>
      <c r="F378">
        <v>10</v>
      </c>
      <c r="G378">
        <v>15</v>
      </c>
      <c r="H378">
        <v>18405</v>
      </c>
      <c r="I378">
        <v>1656.45</v>
      </c>
      <c r="J378">
        <v>16748.55</v>
      </c>
      <c r="K378">
        <v>12270</v>
      </c>
      <c r="L378">
        <v>4478.55</v>
      </c>
      <c r="M378" s="2">
        <v>41913</v>
      </c>
      <c r="N378">
        <v>10</v>
      </c>
      <c r="O378" t="s">
        <v>33</v>
      </c>
      <c r="P378">
        <v>2014</v>
      </c>
    </row>
    <row r="379" spans="1:16" x14ac:dyDescent="0.2">
      <c r="A379" t="s">
        <v>44</v>
      </c>
      <c r="B379" t="s">
        <v>35</v>
      </c>
      <c r="C379" t="s">
        <v>25</v>
      </c>
      <c r="D379" t="s">
        <v>40</v>
      </c>
      <c r="E379">
        <v>367</v>
      </c>
      <c r="F379">
        <v>10</v>
      </c>
      <c r="G379">
        <v>12</v>
      </c>
      <c r="H379">
        <v>4404</v>
      </c>
      <c r="I379">
        <v>396.36</v>
      </c>
      <c r="J379">
        <v>4007.64</v>
      </c>
      <c r="K379">
        <v>1101</v>
      </c>
      <c r="L379">
        <v>2906.64</v>
      </c>
      <c r="M379" s="2">
        <v>41548</v>
      </c>
      <c r="N379">
        <v>10</v>
      </c>
      <c r="O379" t="s">
        <v>33</v>
      </c>
      <c r="P379">
        <v>2013</v>
      </c>
    </row>
    <row r="380" spans="1:16" x14ac:dyDescent="0.2">
      <c r="A380" t="s">
        <v>44</v>
      </c>
      <c r="B380" t="s">
        <v>21</v>
      </c>
      <c r="C380" t="s">
        <v>25</v>
      </c>
      <c r="D380" t="s">
        <v>40</v>
      </c>
      <c r="E380">
        <v>1775</v>
      </c>
      <c r="F380">
        <v>10</v>
      </c>
      <c r="G380">
        <v>12</v>
      </c>
      <c r="H380">
        <v>21300</v>
      </c>
      <c r="I380">
        <v>1917</v>
      </c>
      <c r="J380">
        <v>19383</v>
      </c>
      <c r="K380">
        <v>5325</v>
      </c>
      <c r="L380">
        <v>14058</v>
      </c>
      <c r="M380" s="2">
        <v>41579</v>
      </c>
      <c r="N380">
        <v>11</v>
      </c>
      <c r="O380" t="s">
        <v>36</v>
      </c>
      <c r="P380">
        <v>2013</v>
      </c>
    </row>
    <row r="381" spans="1:16" x14ac:dyDescent="0.2">
      <c r="A381" t="s">
        <v>44</v>
      </c>
      <c r="B381" t="s">
        <v>32</v>
      </c>
      <c r="C381" t="s">
        <v>25</v>
      </c>
      <c r="D381" t="s">
        <v>19</v>
      </c>
      <c r="E381">
        <v>386</v>
      </c>
      <c r="F381">
        <v>10</v>
      </c>
      <c r="G381">
        <v>12</v>
      </c>
      <c r="H381">
        <v>4632</v>
      </c>
      <c r="I381">
        <v>463.2</v>
      </c>
      <c r="J381">
        <v>4168.8</v>
      </c>
      <c r="K381">
        <v>1158</v>
      </c>
      <c r="L381">
        <v>3010.8</v>
      </c>
      <c r="M381" s="2">
        <v>41548</v>
      </c>
      <c r="N381">
        <v>10</v>
      </c>
      <c r="O381" t="s">
        <v>33</v>
      </c>
      <c r="P381">
        <v>2013</v>
      </c>
    </row>
    <row r="382" spans="1:16" x14ac:dyDescent="0.2">
      <c r="A382" t="s">
        <v>43</v>
      </c>
      <c r="B382" t="s">
        <v>22</v>
      </c>
      <c r="C382" t="s">
        <v>25</v>
      </c>
      <c r="D382" t="s">
        <v>19</v>
      </c>
      <c r="E382">
        <v>2167</v>
      </c>
      <c r="F382">
        <v>10</v>
      </c>
      <c r="G382">
        <v>15</v>
      </c>
      <c r="H382">
        <v>32505</v>
      </c>
      <c r="I382">
        <v>3250.5</v>
      </c>
      <c r="J382">
        <v>29254.5</v>
      </c>
      <c r="K382">
        <v>21670</v>
      </c>
      <c r="L382">
        <v>7584.5</v>
      </c>
      <c r="M382" s="2">
        <v>41548</v>
      </c>
      <c r="N382">
        <v>10</v>
      </c>
      <c r="O382" t="s">
        <v>33</v>
      </c>
      <c r="P382">
        <v>2013</v>
      </c>
    </row>
    <row r="383" spans="1:16" x14ac:dyDescent="0.2">
      <c r="A383" t="s">
        <v>44</v>
      </c>
      <c r="B383" t="s">
        <v>22</v>
      </c>
      <c r="C383" t="s">
        <v>25</v>
      </c>
      <c r="D383" t="s">
        <v>19</v>
      </c>
      <c r="E383">
        <v>1198</v>
      </c>
      <c r="F383">
        <v>10</v>
      </c>
      <c r="G383">
        <v>12</v>
      </c>
      <c r="H383">
        <v>14376</v>
      </c>
      <c r="I383">
        <v>1581.36</v>
      </c>
      <c r="J383">
        <v>12794.64</v>
      </c>
      <c r="K383">
        <v>3594</v>
      </c>
      <c r="L383">
        <v>9200.64</v>
      </c>
      <c r="M383" s="2">
        <v>41548</v>
      </c>
      <c r="N383">
        <v>10</v>
      </c>
      <c r="O383" t="s">
        <v>33</v>
      </c>
      <c r="P383">
        <v>2013</v>
      </c>
    </row>
    <row r="384" spans="1:16" x14ac:dyDescent="0.2">
      <c r="A384" t="s">
        <v>44</v>
      </c>
      <c r="B384" t="s">
        <v>22</v>
      </c>
      <c r="C384" t="s">
        <v>25</v>
      </c>
      <c r="D384" t="s">
        <v>19</v>
      </c>
      <c r="E384">
        <v>2425.5</v>
      </c>
      <c r="F384">
        <v>10</v>
      </c>
      <c r="G384">
        <v>12</v>
      </c>
      <c r="H384">
        <v>29106</v>
      </c>
      <c r="I384">
        <v>3201.66</v>
      </c>
      <c r="J384">
        <v>25904.34</v>
      </c>
      <c r="K384">
        <v>7276.5</v>
      </c>
      <c r="L384">
        <v>18627.84</v>
      </c>
      <c r="M384" s="2">
        <v>41821</v>
      </c>
      <c r="N384">
        <v>7</v>
      </c>
      <c r="O384" t="s">
        <v>31</v>
      </c>
      <c r="P384">
        <v>2014</v>
      </c>
    </row>
    <row r="385" spans="1:16" x14ac:dyDescent="0.2">
      <c r="A385" t="s">
        <v>43</v>
      </c>
      <c r="B385" t="s">
        <v>35</v>
      </c>
      <c r="C385" t="s">
        <v>25</v>
      </c>
      <c r="D385" t="s">
        <v>19</v>
      </c>
      <c r="E385">
        <v>1984</v>
      </c>
      <c r="F385">
        <v>10</v>
      </c>
      <c r="G385">
        <v>15</v>
      </c>
      <c r="H385">
        <v>29760</v>
      </c>
      <c r="I385">
        <v>3273.6</v>
      </c>
      <c r="J385">
        <v>26486.400000000001</v>
      </c>
      <c r="K385">
        <v>19840</v>
      </c>
      <c r="L385">
        <v>6646.4</v>
      </c>
      <c r="M385" s="2">
        <v>41852</v>
      </c>
      <c r="N385">
        <v>8</v>
      </c>
      <c r="O385" t="s">
        <v>41</v>
      </c>
      <c r="P385">
        <v>2014</v>
      </c>
    </row>
    <row r="386" spans="1:16" x14ac:dyDescent="0.2">
      <c r="A386" t="s">
        <v>43</v>
      </c>
      <c r="B386" t="s">
        <v>35</v>
      </c>
      <c r="C386" t="s">
        <v>25</v>
      </c>
      <c r="D386" t="s">
        <v>19</v>
      </c>
      <c r="E386">
        <v>380</v>
      </c>
      <c r="F386">
        <v>10</v>
      </c>
      <c r="G386">
        <v>15</v>
      </c>
      <c r="H386">
        <v>5700</v>
      </c>
      <c r="I386">
        <v>684</v>
      </c>
      <c r="J386">
        <v>5016</v>
      </c>
      <c r="K386">
        <v>3800</v>
      </c>
      <c r="L386">
        <v>1216</v>
      </c>
      <c r="M386" s="2">
        <v>41609</v>
      </c>
      <c r="N386">
        <v>12</v>
      </c>
      <c r="O386" t="s">
        <v>27</v>
      </c>
      <c r="P386">
        <v>2013</v>
      </c>
    </row>
    <row r="387" spans="1:16" x14ac:dyDescent="0.2">
      <c r="A387" t="s">
        <v>44</v>
      </c>
      <c r="B387" t="s">
        <v>35</v>
      </c>
      <c r="C387" t="s">
        <v>25</v>
      </c>
      <c r="D387" t="s">
        <v>19</v>
      </c>
      <c r="E387">
        <v>571</v>
      </c>
      <c r="F387">
        <v>10</v>
      </c>
      <c r="G387">
        <v>12</v>
      </c>
      <c r="H387">
        <v>6852</v>
      </c>
      <c r="I387">
        <v>890.76</v>
      </c>
      <c r="J387">
        <v>5961.24</v>
      </c>
      <c r="K387">
        <v>1713</v>
      </c>
      <c r="L387">
        <v>4248.24</v>
      </c>
      <c r="M387" s="2">
        <v>41821</v>
      </c>
      <c r="N387">
        <v>7</v>
      </c>
      <c r="O387" t="s">
        <v>31</v>
      </c>
      <c r="P387">
        <v>2014</v>
      </c>
    </row>
    <row r="388" spans="1:16" x14ac:dyDescent="0.2">
      <c r="A388" t="s">
        <v>43</v>
      </c>
      <c r="B388" t="s">
        <v>17</v>
      </c>
      <c r="C388" t="s">
        <v>25</v>
      </c>
      <c r="D388" t="s">
        <v>19</v>
      </c>
      <c r="E388">
        <v>1565</v>
      </c>
      <c r="F388">
        <v>10</v>
      </c>
      <c r="G388">
        <v>15</v>
      </c>
      <c r="H388">
        <v>23475</v>
      </c>
      <c r="I388">
        <v>3051.75</v>
      </c>
      <c r="J388">
        <v>20423.25</v>
      </c>
      <c r="K388">
        <v>15650</v>
      </c>
      <c r="L388">
        <v>4773.25</v>
      </c>
      <c r="M388" s="2">
        <v>41913</v>
      </c>
      <c r="N388">
        <v>10</v>
      </c>
      <c r="O388" t="s">
        <v>33</v>
      </c>
      <c r="P388">
        <v>2014</v>
      </c>
    </row>
    <row r="389" spans="1:16" x14ac:dyDescent="0.2">
      <c r="A389" t="s">
        <v>44</v>
      </c>
      <c r="B389" t="s">
        <v>21</v>
      </c>
      <c r="C389" t="s">
        <v>25</v>
      </c>
      <c r="D389" t="s">
        <v>19</v>
      </c>
      <c r="E389">
        <v>1013</v>
      </c>
      <c r="F389">
        <v>10</v>
      </c>
      <c r="G389">
        <v>12</v>
      </c>
      <c r="H389">
        <v>12156</v>
      </c>
      <c r="I389">
        <v>1580.28</v>
      </c>
      <c r="J389">
        <v>10575.72</v>
      </c>
      <c r="K389">
        <v>3039</v>
      </c>
      <c r="L389">
        <v>7536.72</v>
      </c>
      <c r="M389" s="2">
        <v>41974</v>
      </c>
      <c r="N389">
        <v>12</v>
      </c>
      <c r="O389" t="s">
        <v>27</v>
      </c>
      <c r="P389">
        <v>2014</v>
      </c>
    </row>
    <row r="390" spans="1:16" x14ac:dyDescent="0.2">
      <c r="A390" t="s">
        <v>43</v>
      </c>
      <c r="B390" t="s">
        <v>21</v>
      </c>
      <c r="C390" t="s">
        <v>25</v>
      </c>
      <c r="D390" t="s">
        <v>19</v>
      </c>
      <c r="E390">
        <v>278</v>
      </c>
      <c r="F390">
        <v>10</v>
      </c>
      <c r="G390">
        <v>15</v>
      </c>
      <c r="H390">
        <v>4170</v>
      </c>
      <c r="I390">
        <v>583.79999999999995</v>
      </c>
      <c r="J390">
        <v>3586.2</v>
      </c>
      <c r="K390">
        <v>2780</v>
      </c>
      <c r="L390">
        <v>806.2</v>
      </c>
      <c r="M390" s="2">
        <v>41671</v>
      </c>
      <c r="N390">
        <v>2</v>
      </c>
      <c r="O390" t="s">
        <v>26</v>
      </c>
      <c r="P390">
        <v>2014</v>
      </c>
    </row>
    <row r="391" spans="1:16" x14ac:dyDescent="0.2">
      <c r="A391" t="s">
        <v>43</v>
      </c>
      <c r="B391" t="s">
        <v>32</v>
      </c>
      <c r="C391" t="s">
        <v>25</v>
      </c>
      <c r="D391" t="s">
        <v>19</v>
      </c>
      <c r="E391">
        <v>1767</v>
      </c>
      <c r="F391">
        <v>10</v>
      </c>
      <c r="G391">
        <v>15</v>
      </c>
      <c r="H391">
        <v>26505</v>
      </c>
      <c r="I391">
        <v>3710.7</v>
      </c>
      <c r="J391">
        <v>22794.3</v>
      </c>
      <c r="K391">
        <v>17670</v>
      </c>
      <c r="L391">
        <v>5124.3</v>
      </c>
      <c r="M391" s="2">
        <v>41883</v>
      </c>
      <c r="N391">
        <v>9</v>
      </c>
      <c r="O391" t="s">
        <v>39</v>
      </c>
      <c r="P391">
        <v>2014</v>
      </c>
    </row>
    <row r="392" spans="1:16" x14ac:dyDescent="0.2">
      <c r="A392" t="s">
        <v>44</v>
      </c>
      <c r="B392" t="s">
        <v>22</v>
      </c>
      <c r="C392" t="s">
        <v>25</v>
      </c>
      <c r="D392" t="s">
        <v>19</v>
      </c>
      <c r="E392">
        <v>1393</v>
      </c>
      <c r="F392">
        <v>10</v>
      </c>
      <c r="G392">
        <v>12</v>
      </c>
      <c r="H392">
        <v>16716</v>
      </c>
      <c r="I392">
        <v>2340.2399999999998</v>
      </c>
      <c r="J392">
        <v>14375.76</v>
      </c>
      <c r="K392">
        <v>4179</v>
      </c>
      <c r="L392">
        <v>10196.76</v>
      </c>
      <c r="M392" s="2">
        <v>41913</v>
      </c>
      <c r="N392">
        <v>10</v>
      </c>
      <c r="O392" t="s">
        <v>33</v>
      </c>
      <c r="P392">
        <v>2014</v>
      </c>
    </row>
    <row r="393" spans="1:16" x14ac:dyDescent="0.2">
      <c r="A393" t="s">
        <v>43</v>
      </c>
      <c r="B393" t="s">
        <v>17</v>
      </c>
      <c r="C393" t="s">
        <v>25</v>
      </c>
      <c r="D393" t="s">
        <v>19</v>
      </c>
      <c r="E393">
        <v>2470</v>
      </c>
      <c r="F393">
        <v>10</v>
      </c>
      <c r="G393">
        <v>15</v>
      </c>
      <c r="H393">
        <v>37050</v>
      </c>
      <c r="I393">
        <v>5187</v>
      </c>
      <c r="J393">
        <v>31863</v>
      </c>
      <c r="K393">
        <v>24700</v>
      </c>
      <c r="L393">
        <v>7163</v>
      </c>
      <c r="M393" s="2">
        <v>41518</v>
      </c>
      <c r="N393">
        <v>9</v>
      </c>
      <c r="O393" t="s">
        <v>39</v>
      </c>
      <c r="P393">
        <v>2013</v>
      </c>
    </row>
    <row r="394" spans="1:16" x14ac:dyDescent="0.2">
      <c r="A394" t="s">
        <v>43</v>
      </c>
      <c r="B394" t="s">
        <v>17</v>
      </c>
      <c r="C394" t="s">
        <v>25</v>
      </c>
      <c r="D394" t="s">
        <v>19</v>
      </c>
      <c r="E394">
        <v>1743</v>
      </c>
      <c r="F394">
        <v>10</v>
      </c>
      <c r="G394">
        <v>15</v>
      </c>
      <c r="H394">
        <v>26145</v>
      </c>
      <c r="I394">
        <v>3660.3</v>
      </c>
      <c r="J394">
        <v>22484.7</v>
      </c>
      <c r="K394">
        <v>17430</v>
      </c>
      <c r="L394">
        <v>5054.7</v>
      </c>
      <c r="M394" s="2">
        <v>41548</v>
      </c>
      <c r="N394">
        <v>10</v>
      </c>
      <c r="O394" t="s">
        <v>33</v>
      </c>
      <c r="P394">
        <v>2013</v>
      </c>
    </row>
    <row r="395" spans="1:16" x14ac:dyDescent="0.2">
      <c r="A395" t="s">
        <v>44</v>
      </c>
      <c r="B395" t="s">
        <v>32</v>
      </c>
      <c r="C395" t="s">
        <v>25</v>
      </c>
      <c r="D395" t="s">
        <v>19</v>
      </c>
      <c r="E395">
        <v>2914</v>
      </c>
      <c r="F395">
        <v>10</v>
      </c>
      <c r="G395">
        <v>12</v>
      </c>
      <c r="H395">
        <v>34968</v>
      </c>
      <c r="I395">
        <v>4895.5200000000004</v>
      </c>
      <c r="J395">
        <v>30072.48</v>
      </c>
      <c r="K395">
        <v>8742</v>
      </c>
      <c r="L395">
        <v>21330.48</v>
      </c>
      <c r="M395" s="2">
        <v>41913</v>
      </c>
      <c r="N395">
        <v>10</v>
      </c>
      <c r="O395" t="s">
        <v>33</v>
      </c>
      <c r="P395">
        <v>2014</v>
      </c>
    </row>
    <row r="396" spans="1:16" x14ac:dyDescent="0.2">
      <c r="A396" t="s">
        <v>44</v>
      </c>
      <c r="B396" t="s">
        <v>17</v>
      </c>
      <c r="C396" t="s">
        <v>25</v>
      </c>
      <c r="D396" t="s">
        <v>19</v>
      </c>
      <c r="E396">
        <v>2222</v>
      </c>
      <c r="F396">
        <v>10</v>
      </c>
      <c r="G396">
        <v>12</v>
      </c>
      <c r="H396">
        <v>26664</v>
      </c>
      <c r="I396">
        <v>3732.96</v>
      </c>
      <c r="J396">
        <v>22931.040000000001</v>
      </c>
      <c r="K396">
        <v>6666</v>
      </c>
      <c r="L396">
        <v>16265.04</v>
      </c>
      <c r="M396" s="2">
        <v>41579</v>
      </c>
      <c r="N396">
        <v>11</v>
      </c>
      <c r="O396" t="s">
        <v>36</v>
      </c>
      <c r="P396">
        <v>2013</v>
      </c>
    </row>
    <row r="397" spans="1:16" x14ac:dyDescent="0.2">
      <c r="A397" t="s">
        <v>43</v>
      </c>
      <c r="B397" t="s">
        <v>17</v>
      </c>
      <c r="C397" t="s">
        <v>25</v>
      </c>
      <c r="D397" t="s">
        <v>19</v>
      </c>
      <c r="E397">
        <v>1614</v>
      </c>
      <c r="F397">
        <v>10</v>
      </c>
      <c r="G397">
        <v>15</v>
      </c>
      <c r="H397">
        <v>24210</v>
      </c>
      <c r="I397">
        <v>3631.5</v>
      </c>
      <c r="J397">
        <v>20578.5</v>
      </c>
      <c r="K397">
        <v>16140</v>
      </c>
      <c r="L397">
        <v>4438.5</v>
      </c>
      <c r="M397" s="2">
        <v>41730</v>
      </c>
      <c r="N397">
        <v>4</v>
      </c>
      <c r="O397" t="s">
        <v>37</v>
      </c>
      <c r="P397">
        <v>2014</v>
      </c>
    </row>
    <row r="398" spans="1:16" x14ac:dyDescent="0.2">
      <c r="A398" t="s">
        <v>43</v>
      </c>
      <c r="B398" t="s">
        <v>17</v>
      </c>
      <c r="C398" t="s">
        <v>25</v>
      </c>
      <c r="D398" t="s">
        <v>19</v>
      </c>
      <c r="E398">
        <v>2559</v>
      </c>
      <c r="F398">
        <v>10</v>
      </c>
      <c r="G398">
        <v>15</v>
      </c>
      <c r="H398">
        <v>38385</v>
      </c>
      <c r="I398">
        <v>5757.75</v>
      </c>
      <c r="J398">
        <v>32627.25</v>
      </c>
      <c r="K398">
        <v>25590</v>
      </c>
      <c r="L398">
        <v>7037.25</v>
      </c>
      <c r="M398" s="2">
        <v>41852</v>
      </c>
      <c r="N398">
        <v>8</v>
      </c>
      <c r="O398" t="s">
        <v>41</v>
      </c>
      <c r="P398">
        <v>2014</v>
      </c>
    </row>
    <row r="399" spans="1:16" x14ac:dyDescent="0.2">
      <c r="A399" t="s">
        <v>43</v>
      </c>
      <c r="B399" t="s">
        <v>21</v>
      </c>
      <c r="C399" t="s">
        <v>25</v>
      </c>
      <c r="D399" t="s">
        <v>19</v>
      </c>
      <c r="E399">
        <v>1175</v>
      </c>
      <c r="F399">
        <v>10</v>
      </c>
      <c r="G399">
        <v>15</v>
      </c>
      <c r="H399">
        <v>17625</v>
      </c>
      <c r="I399">
        <v>2643.75</v>
      </c>
      <c r="J399">
        <v>14981.25</v>
      </c>
      <c r="K399">
        <v>11750</v>
      </c>
      <c r="L399">
        <v>3231.25</v>
      </c>
      <c r="M399" s="2">
        <v>41913</v>
      </c>
      <c r="N399">
        <v>10</v>
      </c>
      <c r="O399" t="s">
        <v>33</v>
      </c>
      <c r="P399">
        <v>2014</v>
      </c>
    </row>
    <row r="400" spans="1:16" x14ac:dyDescent="0.2">
      <c r="A400" t="s">
        <v>44</v>
      </c>
      <c r="B400" t="s">
        <v>32</v>
      </c>
      <c r="C400" t="s">
        <v>25</v>
      </c>
      <c r="D400" t="s">
        <v>19</v>
      </c>
      <c r="E400">
        <v>914</v>
      </c>
      <c r="F400">
        <v>10</v>
      </c>
      <c r="G400">
        <v>12</v>
      </c>
      <c r="H400">
        <v>10968</v>
      </c>
      <c r="I400">
        <v>1645.2</v>
      </c>
      <c r="J400">
        <v>9322.7999999999993</v>
      </c>
      <c r="K400">
        <v>2742</v>
      </c>
      <c r="L400">
        <v>6580.8</v>
      </c>
      <c r="M400" s="2">
        <v>41974</v>
      </c>
      <c r="N400">
        <v>12</v>
      </c>
      <c r="O400" t="s">
        <v>27</v>
      </c>
      <c r="P400">
        <v>2014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ananyakanchan01@gmail.com</cp:lastModifiedBy>
  <dcterms:created xsi:type="dcterms:W3CDTF">2026-07-04T14:00:09Z</dcterms:created>
  <dcterms:modified xsi:type="dcterms:W3CDTF">2026-07-04T14:55:56Z</dcterms:modified>
</cp:coreProperties>
</file>